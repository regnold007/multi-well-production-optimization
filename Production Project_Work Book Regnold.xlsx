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C:\Users\tafad\Downloads\"/>
    </mc:Choice>
  </mc:AlternateContent>
  <xr:revisionPtr revIDLastSave="0" documentId="8_{0876245F-D2CA-4E14-91F8-D54F9371A99D}" xr6:coauthVersionLast="47" xr6:coauthVersionMax="47" xr10:uidLastSave="{00000000-0000-0000-0000-000000000000}"/>
  <bookViews>
    <workbookView xWindow="-110" yWindow="-110" windowWidth="19420" windowHeight="10300" xr2:uid="{E511BCA0-0332-4884-B458-416B3F052AEF}"/>
  </bookViews>
  <sheets>
    <sheet name="Data" sheetId="1" r:id="rId1"/>
    <sheet name="Profiles_Well A" sheetId="2" r:id="rId2"/>
    <sheet name="Profiles_Well B" sheetId="3" r:id="rId3"/>
    <sheet name="Profiles Well C" sheetId="4" r:id="rId4"/>
    <sheet name="Profiles_Well D" sheetId="5" r:id="rId5"/>
    <sheet name="Profiles_Well E" sheetId="6" r:id="rId6"/>
    <sheet name="Profiles_Well F" sheetId="7" r:id="rId7"/>
    <sheet name="Oil_Production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9" i="1" l="1"/>
  <c r="AC59" i="1"/>
  <c r="AC60" i="1" s="1"/>
  <c r="W57" i="1"/>
  <c r="X57" i="1"/>
  <c r="Y57" i="1"/>
  <c r="Y61" i="1" s="1"/>
  <c r="Z57" i="1"/>
  <c r="Z61" i="1" s="1"/>
  <c r="AA57" i="1"/>
  <c r="AA61" i="1" s="1"/>
  <c r="AB57" i="1"/>
  <c r="AB61" i="1" s="1"/>
  <c r="AC57" i="1"/>
  <c r="W58" i="1"/>
  <c r="X58" i="1"/>
  <c r="Y58" i="1"/>
  <c r="Z58" i="1"/>
  <c r="AA58" i="1"/>
  <c r="AB58" i="1"/>
  <c r="AC58" i="1"/>
  <c r="Y59" i="1"/>
  <c r="Z59" i="1"/>
  <c r="AA59" i="1"/>
  <c r="AB59" i="1"/>
  <c r="W60" i="1"/>
  <c r="X60" i="1"/>
  <c r="X61" i="1" s="1"/>
  <c r="Y60" i="1"/>
  <c r="Z60" i="1"/>
  <c r="AA60" i="1"/>
  <c r="AB60" i="1"/>
  <c r="W61" i="1"/>
  <c r="AC38" i="1"/>
  <c r="AB38" i="1"/>
  <c r="AA38" i="1"/>
  <c r="AA39" i="1" s="1"/>
  <c r="Z38" i="1"/>
  <c r="Y38" i="1"/>
  <c r="W46" i="1"/>
  <c r="X46" i="1"/>
  <c r="Y46" i="1"/>
  <c r="Y50" i="1" s="1"/>
  <c r="Z46" i="1"/>
  <c r="Z50" i="1" s="1"/>
  <c r="AA46" i="1"/>
  <c r="AA50" i="1" s="1"/>
  <c r="AB46" i="1"/>
  <c r="AB50" i="1" s="1"/>
  <c r="AC46" i="1"/>
  <c r="W47" i="1"/>
  <c r="X47" i="1"/>
  <c r="Y47" i="1"/>
  <c r="Z47" i="1"/>
  <c r="AA47" i="1"/>
  <c r="AB47" i="1"/>
  <c r="AC47" i="1"/>
  <c r="X48" i="1"/>
  <c r="Y48" i="1"/>
  <c r="Z48" i="1"/>
  <c r="AA48" i="1"/>
  <c r="AB48" i="1"/>
  <c r="AC48" i="1"/>
  <c r="AC49" i="1" s="1"/>
  <c r="W49" i="1"/>
  <c r="X49" i="1"/>
  <c r="X50" i="1" s="1"/>
  <c r="Y49" i="1"/>
  <c r="Z49" i="1"/>
  <c r="AA49" i="1"/>
  <c r="AB49" i="1"/>
  <c r="W50" i="1"/>
  <c r="W36" i="1"/>
  <c r="X36" i="1"/>
  <c r="Y36" i="1"/>
  <c r="Z36" i="1"/>
  <c r="AA36" i="1"/>
  <c r="AB36" i="1"/>
  <c r="AC36" i="1"/>
  <c r="W37" i="1"/>
  <c r="X37" i="1"/>
  <c r="Y37" i="1"/>
  <c r="Z37" i="1"/>
  <c r="AA37" i="1"/>
  <c r="AB37" i="1"/>
  <c r="AC37" i="1"/>
  <c r="W39" i="1"/>
  <c r="X39" i="1"/>
  <c r="X40" i="1" s="1"/>
  <c r="Y39" i="1"/>
  <c r="Z39" i="1"/>
  <c r="AB39" i="1"/>
  <c r="AC39" i="1"/>
  <c r="W40" i="1"/>
  <c r="AC28" i="1"/>
  <c r="AB28" i="1"/>
  <c r="AA28" i="1"/>
  <c r="Z28" i="1"/>
  <c r="Y28" i="1"/>
  <c r="X28" i="1"/>
  <c r="Y29" i="1"/>
  <c r="Y30" i="1" s="1"/>
  <c r="X29" i="1"/>
  <c r="X30" i="1" s="1"/>
  <c r="W7" i="1"/>
  <c r="W26" i="1"/>
  <c r="X26" i="1"/>
  <c r="Y26" i="1"/>
  <c r="Z26" i="1"/>
  <c r="AA26" i="1"/>
  <c r="AB26" i="1"/>
  <c r="AC26" i="1"/>
  <c r="W27" i="1"/>
  <c r="X27" i="1"/>
  <c r="Y27" i="1"/>
  <c r="Z27" i="1"/>
  <c r="AA27" i="1"/>
  <c r="AB27" i="1"/>
  <c r="AC27" i="1"/>
  <c r="AA29" i="1"/>
  <c r="W29" i="1"/>
  <c r="Z29" i="1"/>
  <c r="Z30" i="1" s="1"/>
  <c r="AB29" i="1"/>
  <c r="AC29" i="1"/>
  <c r="W30" i="1"/>
  <c r="AB18" i="1"/>
  <c r="AB19" i="1" s="1"/>
  <c r="AC18" i="1"/>
  <c r="AC19" i="1" s="1"/>
  <c r="AC20" i="1" s="1"/>
  <c r="AA18" i="1"/>
  <c r="X17" i="1"/>
  <c r="X16" i="1"/>
  <c r="W17" i="1"/>
  <c r="W6" i="1"/>
  <c r="W16" i="1"/>
  <c r="AC16" i="1"/>
  <c r="Y16" i="1"/>
  <c r="Z16" i="1"/>
  <c r="AA16" i="1"/>
  <c r="AB16" i="1"/>
  <c r="Y17" i="1"/>
  <c r="Z17" i="1"/>
  <c r="AA17" i="1"/>
  <c r="AB17" i="1"/>
  <c r="AC17" i="1"/>
  <c r="W19" i="1"/>
  <c r="X19" i="1"/>
  <c r="X20" i="1" s="1"/>
  <c r="Y19" i="1"/>
  <c r="Z19" i="1"/>
  <c r="AA19" i="1"/>
  <c r="W20" i="1"/>
  <c r="Y20" i="1"/>
  <c r="Z20" i="1"/>
  <c r="AA8" i="1"/>
  <c r="AB8" i="1"/>
  <c r="AC8" i="1"/>
  <c r="AC7" i="1"/>
  <c r="AC6" i="1"/>
  <c r="AB6" i="1"/>
  <c r="AB7" i="1"/>
  <c r="AB9" i="1"/>
  <c r="AC9" i="1"/>
  <c r="AC10" i="1" s="1"/>
  <c r="AA9" i="1"/>
  <c r="AA10" i="1" s="1"/>
  <c r="Z9" i="1"/>
  <c r="AA7" i="1"/>
  <c r="AA6" i="1"/>
  <c r="Z10" i="1"/>
  <c r="Z7" i="1"/>
  <c r="Z6" i="1"/>
  <c r="Y6" i="1"/>
  <c r="Y10" i="1"/>
  <c r="Y9" i="1"/>
  <c r="Y7" i="1"/>
  <c r="X6" i="1"/>
  <c r="X10" i="1"/>
  <c r="X9" i="1"/>
  <c r="X7" i="1"/>
  <c r="W9" i="1"/>
  <c r="W10" i="1" s="1"/>
  <c r="F48" i="1"/>
  <c r="H48" i="1"/>
  <c r="J48" i="1"/>
  <c r="L48" i="1"/>
  <c r="D48" i="1"/>
  <c r="F49" i="1"/>
  <c r="H49" i="1"/>
  <c r="J49" i="1"/>
  <c r="L49" i="1"/>
  <c r="H28" i="1"/>
  <c r="F28" i="1"/>
  <c r="J28" i="1"/>
  <c r="L28" i="1"/>
  <c r="N28" i="1"/>
  <c r="F29" i="1"/>
  <c r="H29" i="1"/>
  <c r="J29" i="1"/>
  <c r="L29" i="1"/>
  <c r="N29" i="1"/>
  <c r="D9" i="1"/>
  <c r="D39" i="1"/>
  <c r="F19" i="1"/>
  <c r="D29" i="1"/>
  <c r="N31" i="1"/>
  <c r="N60" i="1"/>
  <c r="L60" i="1"/>
  <c r="J60" i="1"/>
  <c r="H60" i="1"/>
  <c r="F60" i="1"/>
  <c r="D59" i="1"/>
  <c r="F59" i="1"/>
  <c r="H59" i="1"/>
  <c r="J59" i="1"/>
  <c r="L59" i="1"/>
  <c r="N59" i="1"/>
  <c r="D60" i="1"/>
  <c r="F38" i="1"/>
  <c r="H38" i="1"/>
  <c r="J38" i="1"/>
  <c r="L38" i="1"/>
  <c r="N38" i="1"/>
  <c r="D38" i="1"/>
  <c r="D28" i="1"/>
  <c r="F18" i="1"/>
  <c r="H18" i="1"/>
  <c r="J18" i="1"/>
  <c r="L18" i="1"/>
  <c r="N18" i="1"/>
  <c r="D18" i="1"/>
  <c r="J8" i="1"/>
  <c r="H8" i="1"/>
  <c r="D10" i="1"/>
  <c r="F8" i="1"/>
  <c r="D11" i="1"/>
  <c r="F11" i="1"/>
  <c r="H11" i="1"/>
  <c r="J11" i="1"/>
  <c r="L11" i="1"/>
  <c r="N11" i="1"/>
  <c r="F10" i="1"/>
  <c r="H10" i="1"/>
  <c r="J10" i="1" s="1"/>
  <c r="L10" i="1"/>
  <c r="N10" i="1"/>
  <c r="D8" i="1"/>
  <c r="L8" i="1"/>
  <c r="N8" i="1"/>
  <c r="D30" i="1"/>
  <c r="F30" i="1" s="1"/>
  <c r="H30" i="1" s="1"/>
  <c r="J30" i="1" s="1"/>
  <c r="L30" i="1" s="1"/>
  <c r="B18" i="1"/>
  <c r="N19" i="1" s="1"/>
  <c r="D19" i="1"/>
  <c r="D62" i="1"/>
  <c r="F62" i="1" s="1"/>
  <c r="H62" i="1" s="1"/>
  <c r="J62" i="1" s="1"/>
  <c r="L62" i="1" s="1"/>
  <c r="N62" i="1" s="1"/>
  <c r="D61" i="1"/>
  <c r="F61" i="1" s="1"/>
  <c r="H61" i="1" s="1"/>
  <c r="J61" i="1" s="1"/>
  <c r="L61" i="1" s="1"/>
  <c r="N61" i="1" s="1"/>
  <c r="B59" i="1"/>
  <c r="D51" i="1"/>
  <c r="F51" i="1" s="1"/>
  <c r="H51" i="1" s="1"/>
  <c r="J51" i="1" s="1"/>
  <c r="L51" i="1" s="1"/>
  <c r="D50" i="1"/>
  <c r="F50" i="1" s="1"/>
  <c r="H50" i="1" s="1"/>
  <c r="J50" i="1" s="1"/>
  <c r="D49" i="1"/>
  <c r="B48" i="1"/>
  <c r="D41" i="1"/>
  <c r="F41" i="1" s="1"/>
  <c r="H41" i="1" s="1"/>
  <c r="J41" i="1" s="1"/>
  <c r="L41" i="1" s="1"/>
  <c r="N41" i="1" s="1"/>
  <c r="D40" i="1"/>
  <c r="F40" i="1" s="1"/>
  <c r="H40" i="1" s="1"/>
  <c r="J40" i="1" s="1"/>
  <c r="L40" i="1" s="1"/>
  <c r="N40" i="1" s="1"/>
  <c r="B38" i="1"/>
  <c r="B28" i="1"/>
  <c r="D31" i="1"/>
  <c r="F31" i="1" s="1"/>
  <c r="H31" i="1" s="1"/>
  <c r="J31" i="1" s="1"/>
  <c r="L31" i="1" s="1"/>
  <c r="D21" i="1"/>
  <c r="F21" i="1" s="1"/>
  <c r="H21" i="1" s="1"/>
  <c r="J21" i="1" s="1"/>
  <c r="L21" i="1" s="1"/>
  <c r="N21" i="1" s="1"/>
  <c r="D20" i="1"/>
  <c r="F20" i="1" s="1"/>
  <c r="H20" i="1" s="1"/>
  <c r="J20" i="1" s="1"/>
  <c r="L20" i="1" s="1"/>
  <c r="N20" i="1" s="1"/>
  <c r="B8" i="1"/>
  <c r="F9" i="1" s="1"/>
  <c r="AC61" i="1" l="1"/>
  <c r="AC40" i="1"/>
  <c r="AA40" i="1"/>
  <c r="AB40" i="1"/>
  <c r="Z40" i="1"/>
  <c r="AC50" i="1"/>
  <c r="Y40" i="1"/>
  <c r="AB30" i="1"/>
  <c r="AC30" i="1"/>
  <c r="AA30" i="1"/>
  <c r="AB20" i="1"/>
  <c r="AA20" i="1"/>
  <c r="AB10" i="1"/>
  <c r="N39" i="1"/>
  <c r="L39" i="1"/>
  <c r="F39" i="1"/>
  <c r="J39" i="1"/>
  <c r="H39" i="1"/>
  <c r="L19" i="1"/>
  <c r="J19" i="1"/>
  <c r="H19" i="1"/>
  <c r="L9" i="1"/>
  <c r="N9" i="1"/>
  <c r="H9" i="1"/>
  <c r="J9" i="1"/>
</calcChain>
</file>

<file path=xl/sharedStrings.xml><?xml version="1.0" encoding="utf-8"?>
<sst xmlns="http://schemas.openxmlformats.org/spreadsheetml/2006/main" count="235" uniqueCount="66">
  <si>
    <t xml:space="preserve">Well A </t>
  </si>
  <si>
    <t>Artficial Lift Gas Lift (2.5 mmscf/d )</t>
  </si>
  <si>
    <t>Year 0</t>
  </si>
  <si>
    <t>Year 1</t>
  </si>
  <si>
    <t>Year 2</t>
  </si>
  <si>
    <t>Year 3</t>
  </si>
  <si>
    <t>Year 4</t>
  </si>
  <si>
    <t>Year 5</t>
  </si>
  <si>
    <t>Year 6</t>
  </si>
  <si>
    <t>Parameter</t>
  </si>
  <si>
    <t>Value</t>
  </si>
  <si>
    <t>Unit</t>
  </si>
  <si>
    <t xml:space="preserve">Diameter </t>
  </si>
  <si>
    <t>Oil Price</t>
  </si>
  <si>
    <t>$/bbl</t>
  </si>
  <si>
    <t xml:space="preserve">Year 5 </t>
  </si>
  <si>
    <t>Pwf</t>
  </si>
  <si>
    <t>Water Disposal</t>
  </si>
  <si>
    <t>Gross Revenue ($)</t>
  </si>
  <si>
    <t>Q</t>
  </si>
  <si>
    <t>ESP Cost</t>
  </si>
  <si>
    <t>$/bbl (Total Liq)</t>
  </si>
  <si>
    <t>Water Cost ($)</t>
  </si>
  <si>
    <t>Qt</t>
  </si>
  <si>
    <t>Rod Pump Cost</t>
  </si>
  <si>
    <t>Energy Cost ($)</t>
  </si>
  <si>
    <t>Pr</t>
  </si>
  <si>
    <t>Gas Lift Cost</t>
  </si>
  <si>
    <t>$/Mscf</t>
  </si>
  <si>
    <t>Total OPEX ($)</t>
  </si>
  <si>
    <t xml:space="preserve">Water Cut </t>
  </si>
  <si>
    <t>Days in Year</t>
  </si>
  <si>
    <t>Days</t>
  </si>
  <si>
    <t>Net Profit ($)</t>
  </si>
  <si>
    <t>GOR</t>
  </si>
  <si>
    <t xml:space="preserve">Well B </t>
  </si>
  <si>
    <t>Artficial Lift Gas Lift (1.0 mmscf/d )</t>
  </si>
  <si>
    <t>Well C</t>
  </si>
  <si>
    <t>Artficial Lift ESP( 350 STAGES)</t>
  </si>
  <si>
    <t xml:space="preserve">Well D </t>
  </si>
  <si>
    <t xml:space="preserve">Artficial Lift Rod Pump (spm 10) </t>
  </si>
  <si>
    <t>Well E</t>
  </si>
  <si>
    <t>Artficial Lift  ESP (450 STAGES)</t>
  </si>
  <si>
    <t>Well F</t>
  </si>
  <si>
    <t>Artficial Lift Rod Pump (5 spm)</t>
  </si>
  <si>
    <t>Well A</t>
  </si>
  <si>
    <t>Distance (ft)</t>
  </si>
  <si>
    <t>Pressure(psia)</t>
  </si>
  <si>
    <t>Temperature (degF)</t>
  </si>
  <si>
    <t>Vsg (ft/s)</t>
  </si>
  <si>
    <t>Pressure Profile:</t>
  </si>
  <si>
    <t>T</t>
  </si>
  <si>
    <t xml:space="preserve">Temperature: </t>
  </si>
  <si>
    <t>Vsg:</t>
  </si>
  <si>
    <t>Well B</t>
  </si>
  <si>
    <t>Distance(ft)</t>
  </si>
  <si>
    <t>Pressure (psia)</t>
  </si>
  <si>
    <t xml:space="preserve">Well C </t>
  </si>
  <si>
    <t>Well D</t>
  </si>
  <si>
    <t>Year</t>
  </si>
  <si>
    <t>Well A (STB/d)</t>
  </si>
  <si>
    <t>Well B (STB/d)</t>
  </si>
  <si>
    <t>Well C (STB/d)</t>
  </si>
  <si>
    <t>Well D (STB/d)</t>
  </si>
  <si>
    <t>Well E (STB/d)</t>
  </si>
  <si>
    <t>Well F (STB/d)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</si>
</sst>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theme="2" tint="-0.89999084444715716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u/>
      <sz val="11"/>
      <color rgb="FFBE5014"/>
      <name val="Aptos Narrow"/>
      <family val="2"/>
      <scheme val="minor"/>
    </font>
    <font>
      <b/>
      <sz val="11"/>
      <color rgb="FF1F1F1F"/>
      <name val="Google Sans Text"/>
      <charset val="1"/>
    </font>
    <font>
      <sz val="11"/>
      <color rgb="FF1F1F1F"/>
      <name val="Google Sans Text"/>
      <charset val="1"/>
    </font>
    <font>
      <sz val="11"/>
      <color rgb="FF444746"/>
      <name val="Google Sans Text"/>
      <charset val="1"/>
    </font>
    <font>
      <i/>
      <sz val="11"/>
      <color rgb="FF1F1F1F"/>
      <name val="Google Sans Text"/>
      <charset val="1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 tint="0.59999389629810485"/>
        <bgColor indexed="65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</cellStyleXfs>
  <cellXfs count="40">
    <xf numFmtId="0" fontId="0" fillId="0" borderId="0" xfId="0"/>
    <xf numFmtId="0" fontId="2" fillId="3" borderId="0" xfId="2"/>
    <xf numFmtId="0" fontId="1" fillId="2" borderId="0" xfId="1"/>
    <xf numFmtId="0" fontId="3" fillId="4" borderId="0" xfId="3"/>
    <xf numFmtId="0" fontId="6" fillId="0" borderId="0" xfId="0" applyFont="1"/>
    <xf numFmtId="0" fontId="4" fillId="7" borderId="0" xfId="6"/>
    <xf numFmtId="0" fontId="4" fillId="5" borderId="0" xfId="4"/>
    <xf numFmtId="0" fontId="4" fillId="6" borderId="0" xfId="5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1" fillId="2" borderId="0" xfId="1" applyFont="1"/>
    <xf numFmtId="0" fontId="11" fillId="4" borderId="0" xfId="3" applyFont="1"/>
    <xf numFmtId="0" fontId="3" fillId="4" borderId="0" xfId="3" applyAlignment="1">
      <alignment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readingOrder="1"/>
    </xf>
    <xf numFmtId="0" fontId="16" fillId="0" borderId="0" xfId="0" applyFont="1" applyAlignment="1">
      <alignment readingOrder="1"/>
    </xf>
    <xf numFmtId="0" fontId="17" fillId="0" borderId="0" xfId="0" applyFont="1" applyAlignment="1">
      <alignment readingOrder="1"/>
    </xf>
    <xf numFmtId="0" fontId="15" fillId="0" borderId="1" xfId="0" applyFont="1" applyBorder="1" applyAlignment="1">
      <alignment readingOrder="1"/>
    </xf>
    <xf numFmtId="0" fontId="5" fillId="0" borderId="1" xfId="0" applyFont="1" applyBorder="1"/>
    <xf numFmtId="0" fontId="17" fillId="0" borderId="1" xfId="0" applyFont="1" applyBorder="1" applyAlignment="1">
      <alignment readingOrder="1"/>
    </xf>
    <xf numFmtId="0" fontId="16" fillId="0" borderId="1" xfId="0" applyFont="1" applyBorder="1" applyAlignment="1">
      <alignment readingOrder="1"/>
    </xf>
    <xf numFmtId="0" fontId="0" fillId="0" borderId="1" xfId="0" applyBorder="1"/>
    <xf numFmtId="0" fontId="15" fillId="0" borderId="2" xfId="0" applyFont="1" applyBorder="1" applyAlignment="1">
      <alignment readingOrder="1"/>
    </xf>
    <xf numFmtId="0" fontId="17" fillId="0" borderId="2" xfId="0" applyFont="1" applyBorder="1" applyAlignment="1">
      <alignment readingOrder="1"/>
    </xf>
    <xf numFmtId="0" fontId="18" fillId="0" borderId="2" xfId="0" applyFont="1" applyBorder="1" applyAlignment="1">
      <alignment readingOrder="1"/>
    </xf>
    <xf numFmtId="0" fontId="15" fillId="0" borderId="3" xfId="0" applyFont="1" applyBorder="1" applyAlignment="1">
      <alignment readingOrder="1"/>
    </xf>
    <xf numFmtId="0" fontId="20" fillId="0" borderId="0" xfId="0" applyFont="1"/>
    <xf numFmtId="0" fontId="21" fillId="0" borderId="0" xfId="0" applyFont="1"/>
    <xf numFmtId="0" fontId="19" fillId="0" borderId="0" xfId="0" applyFont="1"/>
    <xf numFmtId="0" fontId="22" fillId="0" borderId="0" xfId="0" applyFont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7">
    <cellStyle name="40% - Accent1" xfId="4" builtinId="31"/>
    <cellStyle name="40% - Accent4" xfId="6" builtinId="43"/>
    <cellStyle name="60% - Accent1" xfId="5" builtinId="32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Pressure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Pressure Profile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'Profiles_Well A'!$A$4:$A$20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294.8</c:v>
                </c:pt>
                <c:pt idx="4">
                  <c:v>1000</c:v>
                </c:pt>
                <c:pt idx="5">
                  <c:v>1000</c:v>
                </c:pt>
                <c:pt idx="6">
                  <c:v>1159.5999999999999</c:v>
                </c:pt>
                <c:pt idx="7">
                  <c:v>2029.1</c:v>
                </c:pt>
                <c:pt idx="8">
                  <c:v>2909.1</c:v>
                </c:pt>
                <c:pt idx="9">
                  <c:v>3696.8</c:v>
                </c:pt>
                <c:pt idx="10">
                  <c:v>4696.8</c:v>
                </c:pt>
                <c:pt idx="11">
                  <c:v>5598</c:v>
                </c:pt>
                <c:pt idx="12">
                  <c:v>6385.6</c:v>
                </c:pt>
                <c:pt idx="13">
                  <c:v>7385.6</c:v>
                </c:pt>
                <c:pt idx="14">
                  <c:v>8265.7000000000007</c:v>
                </c:pt>
                <c:pt idx="15">
                  <c:v>9135.2000000000007</c:v>
                </c:pt>
                <c:pt idx="16">
                  <c:v>10000</c:v>
                </c:pt>
              </c:numCache>
            </c:numRef>
          </c:xVal>
          <c:yVal>
            <c:numRef>
              <c:f>'Profiles_Well A'!$B$4:$B$20</c:f>
              <c:numCache>
                <c:formatCode>General</c:formatCode>
                <c:ptCount val="17"/>
                <c:pt idx="0">
                  <c:v>4200</c:v>
                </c:pt>
                <c:pt idx="1">
                  <c:v>1119.2929999999999</c:v>
                </c:pt>
                <c:pt idx="2">
                  <c:v>1119.2929999999999</c:v>
                </c:pt>
                <c:pt idx="3">
                  <c:v>1092.9939999999999</c:v>
                </c:pt>
                <c:pt idx="4">
                  <c:v>1032.32</c:v>
                </c:pt>
                <c:pt idx="5">
                  <c:v>1032.3130000000001</c:v>
                </c:pt>
                <c:pt idx="6">
                  <c:v>1017.518</c:v>
                </c:pt>
                <c:pt idx="7">
                  <c:v>938.45690000000002</c:v>
                </c:pt>
                <c:pt idx="8">
                  <c:v>860.93719999999996</c:v>
                </c:pt>
                <c:pt idx="9">
                  <c:v>793.95450000000005</c:v>
                </c:pt>
                <c:pt idx="10">
                  <c:v>710.66880000000003</c:v>
                </c:pt>
                <c:pt idx="11">
                  <c:v>637.86</c:v>
                </c:pt>
                <c:pt idx="12">
                  <c:v>575.12130000000002</c:v>
                </c:pt>
                <c:pt idx="13">
                  <c:v>497.42189999999999</c:v>
                </c:pt>
                <c:pt idx="14">
                  <c:v>429.9314</c:v>
                </c:pt>
                <c:pt idx="15">
                  <c:v>364.38729999999998</c:v>
                </c:pt>
                <c:pt idx="16">
                  <c:v>300.66919999999999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64-4F87-AB4C-38CB29020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3901488"/>
        <c:axId val="1963885168"/>
      </c:scatterChart>
      <c:valAx>
        <c:axId val="196390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Distance</a:t>
                </a:r>
                <a:r>
                  <a:rPr lang="en-US" b="1" baseline="0"/>
                  <a:t> along floww path (ft)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885168"/>
        <c:crosses val="autoZero"/>
        <c:crossBetween val="midCat"/>
      </c:valAx>
      <c:valAx>
        <c:axId val="196388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Pressure</a:t>
                </a:r>
                <a:r>
                  <a:rPr lang="en-US" b="1" baseline="0"/>
                  <a:t> (psia)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90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Temperature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'Profiles_Well A'!$A$4:$A$20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294.8</c:v>
                </c:pt>
                <c:pt idx="4">
                  <c:v>1000</c:v>
                </c:pt>
                <c:pt idx="5">
                  <c:v>1000</c:v>
                </c:pt>
                <c:pt idx="6">
                  <c:v>1159.5999999999999</c:v>
                </c:pt>
                <c:pt idx="7">
                  <c:v>2029.1</c:v>
                </c:pt>
                <c:pt idx="8">
                  <c:v>2909.1</c:v>
                </c:pt>
                <c:pt idx="9">
                  <c:v>3696.8</c:v>
                </c:pt>
                <c:pt idx="10">
                  <c:v>4696.8</c:v>
                </c:pt>
                <c:pt idx="11">
                  <c:v>5598</c:v>
                </c:pt>
                <c:pt idx="12">
                  <c:v>6385.6</c:v>
                </c:pt>
                <c:pt idx="13">
                  <c:v>7385.6</c:v>
                </c:pt>
                <c:pt idx="14">
                  <c:v>8265.7000000000007</c:v>
                </c:pt>
                <c:pt idx="15">
                  <c:v>9135.2000000000007</c:v>
                </c:pt>
                <c:pt idx="16">
                  <c:v>10000</c:v>
                </c:pt>
              </c:numCache>
            </c:numRef>
          </c:xVal>
          <c:yVal>
            <c:numRef>
              <c:f>'Profiles_Well A'!$C$4:$C$20</c:f>
              <c:numCache>
                <c:formatCode>General</c:formatCode>
                <c:ptCount val="17"/>
                <c:pt idx="0">
                  <c:v>185</c:v>
                </c:pt>
                <c:pt idx="1">
                  <c:v>179.3997</c:v>
                </c:pt>
                <c:pt idx="2">
                  <c:v>179.3997</c:v>
                </c:pt>
                <c:pt idx="3">
                  <c:v>179.2544</c:v>
                </c:pt>
                <c:pt idx="4">
                  <c:v>176.928</c:v>
                </c:pt>
                <c:pt idx="5">
                  <c:v>176.928</c:v>
                </c:pt>
                <c:pt idx="6">
                  <c:v>176.22919999999999</c:v>
                </c:pt>
                <c:pt idx="7">
                  <c:v>171.35429999999999</c:v>
                </c:pt>
                <c:pt idx="8">
                  <c:v>164.98099999999999</c:v>
                </c:pt>
                <c:pt idx="9">
                  <c:v>158.42080000000001</c:v>
                </c:pt>
                <c:pt idx="10">
                  <c:v>149.23509999999999</c:v>
                </c:pt>
                <c:pt idx="11">
                  <c:v>140.39570000000001</c:v>
                </c:pt>
                <c:pt idx="12">
                  <c:v>132.33349999999999</c:v>
                </c:pt>
                <c:pt idx="13">
                  <c:v>121.7741</c:v>
                </c:pt>
                <c:pt idx="14">
                  <c:v>112.2161</c:v>
                </c:pt>
                <c:pt idx="15">
                  <c:v>102.57</c:v>
                </c:pt>
                <c:pt idx="16">
                  <c:v>92.817589999999996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8B-4272-AB0E-D84FD1DA2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623168"/>
        <c:axId val="301626048"/>
      </c:scatterChart>
      <c:valAx>
        <c:axId val="301623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Distance</a:t>
                </a:r>
                <a:r>
                  <a:rPr lang="en-US" b="1" baseline="0"/>
                  <a:t> of Flow Path (Ft)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626048"/>
        <c:crosses val="autoZero"/>
        <c:crossBetween val="midCat"/>
      </c:valAx>
      <c:valAx>
        <c:axId val="30162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Temperature</a:t>
                </a:r>
                <a:r>
                  <a:rPr lang="en-US" b="1" baseline="0"/>
                  <a:t> (degF)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623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Vsg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Vsg Profile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'Profiles_Well A'!$A$4:$A$20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294.8</c:v>
                </c:pt>
                <c:pt idx="4">
                  <c:v>1000</c:v>
                </c:pt>
                <c:pt idx="5">
                  <c:v>1000</c:v>
                </c:pt>
                <c:pt idx="6">
                  <c:v>1159.5999999999999</c:v>
                </c:pt>
                <c:pt idx="7">
                  <c:v>2029.1</c:v>
                </c:pt>
                <c:pt idx="8">
                  <c:v>2909.1</c:v>
                </c:pt>
                <c:pt idx="9">
                  <c:v>3696.8</c:v>
                </c:pt>
                <c:pt idx="10">
                  <c:v>4696.8</c:v>
                </c:pt>
                <c:pt idx="11">
                  <c:v>5598</c:v>
                </c:pt>
                <c:pt idx="12">
                  <c:v>6385.6</c:v>
                </c:pt>
                <c:pt idx="13">
                  <c:v>7385.6</c:v>
                </c:pt>
                <c:pt idx="14">
                  <c:v>8265.7000000000007</c:v>
                </c:pt>
                <c:pt idx="15">
                  <c:v>9135.2000000000007</c:v>
                </c:pt>
                <c:pt idx="16">
                  <c:v>10000</c:v>
                </c:pt>
              </c:numCache>
            </c:numRef>
          </c:xVal>
          <c:yVal>
            <c:numRef>
              <c:f>'Profiles_Well A'!$D$4:$D$20</c:f>
              <c:numCache>
                <c:formatCode>General</c:formatCode>
                <c:ptCount val="17"/>
                <c:pt idx="2">
                  <c:v>1.116986</c:v>
                </c:pt>
                <c:pt idx="3">
                  <c:v>1.150077</c:v>
                </c:pt>
                <c:pt idx="4">
                  <c:v>1.2273419999999999</c:v>
                </c:pt>
                <c:pt idx="5">
                  <c:v>3.2758340000000001</c:v>
                </c:pt>
                <c:pt idx="6">
                  <c:v>3.3285879999999999</c:v>
                </c:pt>
                <c:pt idx="7">
                  <c:v>3.6318090000000001</c:v>
                </c:pt>
                <c:pt idx="8">
                  <c:v>3.9704929999999998</c:v>
                </c:pt>
                <c:pt idx="9">
                  <c:v>4.3080990000000003</c:v>
                </c:pt>
                <c:pt idx="10">
                  <c:v>4.8090070000000003</c:v>
                </c:pt>
                <c:pt idx="11">
                  <c:v>5.3484850000000002</c:v>
                </c:pt>
                <c:pt idx="12">
                  <c:v>5.9209100000000001</c:v>
                </c:pt>
                <c:pt idx="13">
                  <c:v>6.827604</c:v>
                </c:pt>
                <c:pt idx="14">
                  <c:v>7.8815759999999999</c:v>
                </c:pt>
                <c:pt idx="15">
                  <c:v>9.2794989999999995</c:v>
                </c:pt>
                <c:pt idx="16">
                  <c:v>11.2233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B5-41B7-B45A-74095769A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663488"/>
        <c:axId val="301654368"/>
      </c:scatterChart>
      <c:valAx>
        <c:axId val="301663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Distance of the flow</a:t>
                </a:r>
                <a:r>
                  <a:rPr lang="en-US" b="1" baseline="0"/>
                  <a:t> path (ft)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654368"/>
        <c:crosses val="autoZero"/>
        <c:crossBetween val="midCat"/>
      </c:valAx>
      <c:valAx>
        <c:axId val="30165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Vsg</a:t>
                </a:r>
                <a:r>
                  <a:rPr lang="en-US" b="1" baseline="0"/>
                  <a:t> (ft/s)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663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Pressure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Pressure Profile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'Profiles_Well B'!$A$3:$A$19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65.5</c:v>
                </c:pt>
                <c:pt idx="4">
                  <c:v>500</c:v>
                </c:pt>
                <c:pt idx="5">
                  <c:v>500</c:v>
                </c:pt>
                <c:pt idx="6">
                  <c:v>866</c:v>
                </c:pt>
                <c:pt idx="7">
                  <c:v>1670.3</c:v>
                </c:pt>
                <c:pt idx="8">
                  <c:v>2480.9</c:v>
                </c:pt>
                <c:pt idx="9">
                  <c:v>3298.3</c:v>
                </c:pt>
                <c:pt idx="10">
                  <c:v>3945.2</c:v>
                </c:pt>
                <c:pt idx="11">
                  <c:v>4945.2</c:v>
                </c:pt>
                <c:pt idx="12">
                  <c:v>5767.7</c:v>
                </c:pt>
                <c:pt idx="13">
                  <c:v>6395.2</c:v>
                </c:pt>
                <c:pt idx="14">
                  <c:v>7395.2</c:v>
                </c:pt>
                <c:pt idx="15">
                  <c:v>8199.5</c:v>
                </c:pt>
                <c:pt idx="16">
                  <c:v>9000</c:v>
                </c:pt>
              </c:numCache>
            </c:numRef>
          </c:xVal>
          <c:yVal>
            <c:numRef>
              <c:f>'Profiles_Well B'!$B$3:$B$19</c:f>
              <c:numCache>
                <c:formatCode>General</c:formatCode>
                <c:ptCount val="17"/>
                <c:pt idx="0">
                  <c:v>3600</c:v>
                </c:pt>
                <c:pt idx="1">
                  <c:v>1190.402</c:v>
                </c:pt>
                <c:pt idx="2">
                  <c:v>1190.402</c:v>
                </c:pt>
                <c:pt idx="3">
                  <c:v>1183.2760000000001</c:v>
                </c:pt>
                <c:pt idx="4">
                  <c:v>1136.931</c:v>
                </c:pt>
                <c:pt idx="5">
                  <c:v>1136.9100000000001</c:v>
                </c:pt>
                <c:pt idx="6">
                  <c:v>1095.19</c:v>
                </c:pt>
                <c:pt idx="7">
                  <c:v>1005.609</c:v>
                </c:pt>
                <c:pt idx="8">
                  <c:v>918.2586</c:v>
                </c:pt>
                <c:pt idx="9">
                  <c:v>833.10209999999995</c:v>
                </c:pt>
                <c:pt idx="10">
                  <c:v>767.73810000000003</c:v>
                </c:pt>
                <c:pt idx="11">
                  <c:v>669.38869999999997</c:v>
                </c:pt>
                <c:pt idx="12">
                  <c:v>590.78359999999998</c:v>
                </c:pt>
                <c:pt idx="13">
                  <c:v>531.71100000000001</c:v>
                </c:pt>
                <c:pt idx="14">
                  <c:v>440.4572</c:v>
                </c:pt>
                <c:pt idx="15">
                  <c:v>368.95319999999998</c:v>
                </c:pt>
                <c:pt idx="16">
                  <c:v>300.00310000000002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3C-4CDC-AB76-37631E884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3889488"/>
        <c:axId val="1963908688"/>
      </c:scatterChart>
      <c:valAx>
        <c:axId val="1963889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Distance</a:t>
                </a:r>
                <a:r>
                  <a:rPr lang="en-US" b="1" baseline="0"/>
                  <a:t> of flow path (ft)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0.4458611111111111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908688"/>
        <c:crosses val="autoZero"/>
        <c:crossBetween val="midCat"/>
      </c:valAx>
      <c:valAx>
        <c:axId val="196390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Pressure</a:t>
                </a:r>
                <a:r>
                  <a:rPr lang="en-US" b="1" baseline="0"/>
                  <a:t> (psia)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889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Temperature</a:t>
            </a:r>
            <a:r>
              <a:rPr lang="en-US" b="1" baseline="0"/>
              <a:t> </a:t>
            </a:r>
            <a:r>
              <a:rPr lang="en-US" b="1"/>
              <a:t>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T_Profile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'Profiles_Well B'!$A$3:$A$19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65.5</c:v>
                </c:pt>
                <c:pt idx="4">
                  <c:v>500</c:v>
                </c:pt>
                <c:pt idx="5">
                  <c:v>500</c:v>
                </c:pt>
                <c:pt idx="6">
                  <c:v>866</c:v>
                </c:pt>
                <c:pt idx="7">
                  <c:v>1670.3</c:v>
                </c:pt>
                <c:pt idx="8">
                  <c:v>2480.9</c:v>
                </c:pt>
                <c:pt idx="9">
                  <c:v>3298.3</c:v>
                </c:pt>
                <c:pt idx="10">
                  <c:v>3945.2</c:v>
                </c:pt>
                <c:pt idx="11">
                  <c:v>4945.2</c:v>
                </c:pt>
                <c:pt idx="12">
                  <c:v>5767.7</c:v>
                </c:pt>
                <c:pt idx="13">
                  <c:v>6395.2</c:v>
                </c:pt>
                <c:pt idx="14">
                  <c:v>7395.2</c:v>
                </c:pt>
                <c:pt idx="15">
                  <c:v>8199.5</c:v>
                </c:pt>
                <c:pt idx="16">
                  <c:v>9000</c:v>
                </c:pt>
              </c:numCache>
            </c:numRef>
          </c:xVal>
          <c:yVal>
            <c:numRef>
              <c:f>'Profiles_Well B'!$C$3:$C$19</c:f>
              <c:numCache>
                <c:formatCode>General</c:formatCode>
                <c:ptCount val="17"/>
                <c:pt idx="0">
                  <c:v>175</c:v>
                </c:pt>
                <c:pt idx="1">
                  <c:v>171.8657</c:v>
                </c:pt>
                <c:pt idx="2">
                  <c:v>171.8657</c:v>
                </c:pt>
                <c:pt idx="3">
                  <c:v>171.7484</c:v>
                </c:pt>
                <c:pt idx="4">
                  <c:v>170.64609999999999</c:v>
                </c:pt>
                <c:pt idx="5">
                  <c:v>170.64599999999999</c:v>
                </c:pt>
                <c:pt idx="6">
                  <c:v>169.43870000000001</c:v>
                </c:pt>
                <c:pt idx="7">
                  <c:v>166.05629999999999</c:v>
                </c:pt>
                <c:pt idx="8">
                  <c:v>161.76589999999999</c:v>
                </c:pt>
                <c:pt idx="9">
                  <c:v>156.6848</c:v>
                </c:pt>
                <c:pt idx="10">
                  <c:v>152.2099</c:v>
                </c:pt>
                <c:pt idx="11">
                  <c:v>144.60910000000001</c:v>
                </c:pt>
                <c:pt idx="12">
                  <c:v>137.82220000000001</c:v>
                </c:pt>
                <c:pt idx="13">
                  <c:v>132.34270000000001</c:v>
                </c:pt>
                <c:pt idx="14">
                  <c:v>123.1837</c:v>
                </c:pt>
                <c:pt idx="15">
                  <c:v>115.4598</c:v>
                </c:pt>
                <c:pt idx="16">
                  <c:v>107.5056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74-4BD1-879B-B2D6614BC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632288"/>
        <c:axId val="301643808"/>
      </c:scatterChart>
      <c:valAx>
        <c:axId val="301632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Distance</a:t>
                </a:r>
                <a:r>
                  <a:rPr lang="en-US" b="1" baseline="0"/>
                  <a:t> of flow path (ft)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643808"/>
        <c:crosses val="autoZero"/>
        <c:crossBetween val="midCat"/>
      </c:valAx>
      <c:valAx>
        <c:axId val="30164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baseline="0"/>
                  <a:t>Temperature (degF)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632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Vsg</a:t>
            </a:r>
            <a:r>
              <a:rPr lang="en-US" b="1" baseline="0"/>
              <a:t> Profile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'Profiles_Well B'!$D$2</c:f>
              <c:strCache>
                <c:ptCount val="1"/>
                <c:pt idx="0">
                  <c:v>Vsg (ft/s)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'Profiles_Well B'!$A$3:$A$19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65.5</c:v>
                </c:pt>
                <c:pt idx="4">
                  <c:v>500</c:v>
                </c:pt>
                <c:pt idx="5">
                  <c:v>500</c:v>
                </c:pt>
                <c:pt idx="6">
                  <c:v>866</c:v>
                </c:pt>
                <c:pt idx="7">
                  <c:v>1670.3</c:v>
                </c:pt>
                <c:pt idx="8">
                  <c:v>2480.9</c:v>
                </c:pt>
                <c:pt idx="9">
                  <c:v>3298.3</c:v>
                </c:pt>
                <c:pt idx="10">
                  <c:v>3945.2</c:v>
                </c:pt>
                <c:pt idx="11">
                  <c:v>4945.2</c:v>
                </c:pt>
                <c:pt idx="12">
                  <c:v>5767.7</c:v>
                </c:pt>
                <c:pt idx="13">
                  <c:v>6395.2</c:v>
                </c:pt>
                <c:pt idx="14">
                  <c:v>7395.2</c:v>
                </c:pt>
                <c:pt idx="15">
                  <c:v>8199.5</c:v>
                </c:pt>
                <c:pt idx="16">
                  <c:v>9000</c:v>
                </c:pt>
              </c:numCache>
            </c:numRef>
          </c:xVal>
          <c:yVal>
            <c:numRef>
              <c:f>'Profiles_Well B'!$D$3:$D$19</c:f>
              <c:numCache>
                <c:formatCode>General</c:formatCode>
                <c:ptCount val="17"/>
                <c:pt idx="2">
                  <c:v>1.604938</c:v>
                </c:pt>
                <c:pt idx="3">
                  <c:v>1.6167260000000001</c:v>
                </c:pt>
                <c:pt idx="4">
                  <c:v>1.6968840000000001</c:v>
                </c:pt>
                <c:pt idx="5">
                  <c:v>4.5292219999999999</c:v>
                </c:pt>
                <c:pt idx="6">
                  <c:v>4.7347190000000001</c:v>
                </c:pt>
                <c:pt idx="7">
                  <c:v>5.2267939999999999</c:v>
                </c:pt>
                <c:pt idx="8">
                  <c:v>5.7885679999999997</c:v>
                </c:pt>
                <c:pt idx="9">
                  <c:v>6.4400269999999997</c:v>
                </c:pt>
                <c:pt idx="10">
                  <c:v>7.0320549999999997</c:v>
                </c:pt>
                <c:pt idx="11">
                  <c:v>8.1316980000000001</c:v>
                </c:pt>
                <c:pt idx="12">
                  <c:v>9.2667450000000002</c:v>
                </c:pt>
                <c:pt idx="13">
                  <c:v>10.33747</c:v>
                </c:pt>
                <c:pt idx="14">
                  <c:v>12.54927</c:v>
                </c:pt>
                <c:pt idx="15">
                  <c:v>15.04255</c:v>
                </c:pt>
                <c:pt idx="16">
                  <c:v>18.567019999999999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48-4BBA-8586-7DEE360D9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3889008"/>
        <c:axId val="1963905808"/>
      </c:scatterChart>
      <c:valAx>
        <c:axId val="1963889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Distance</a:t>
                </a:r>
                <a:r>
                  <a:rPr lang="en-US" b="1" baseline="0"/>
                  <a:t> of flow path (ft)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905808"/>
        <c:crosses val="autoZero"/>
        <c:crossBetween val="midCat"/>
      </c:valAx>
      <c:valAx>
        <c:axId val="196390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Vsg (ft/s)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889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Pressure</a:t>
            </a:r>
            <a:r>
              <a:rPr lang="en-US" b="1" baseline="0"/>
              <a:t> Profile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'Profiles Well C'!$B$2</c:f>
              <c:strCache>
                <c:ptCount val="1"/>
                <c:pt idx="0">
                  <c:v>Pressure (psia)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'Profiles Well C'!$A$3:$A$21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203.4</c:v>
                </c:pt>
                <c:pt idx="4">
                  <c:v>500</c:v>
                </c:pt>
                <c:pt idx="5">
                  <c:v>500</c:v>
                </c:pt>
                <c:pt idx="6">
                  <c:v>1369.5</c:v>
                </c:pt>
                <c:pt idx="7">
                  <c:v>1545.5</c:v>
                </c:pt>
                <c:pt idx="8">
                  <c:v>2545.5</c:v>
                </c:pt>
                <c:pt idx="9">
                  <c:v>2899.8</c:v>
                </c:pt>
                <c:pt idx="10">
                  <c:v>3899.8</c:v>
                </c:pt>
                <c:pt idx="11">
                  <c:v>4899.8</c:v>
                </c:pt>
                <c:pt idx="12">
                  <c:v>5065.8999999999996</c:v>
                </c:pt>
                <c:pt idx="13">
                  <c:v>6065.9</c:v>
                </c:pt>
                <c:pt idx="14">
                  <c:v>6220.3</c:v>
                </c:pt>
                <c:pt idx="15">
                  <c:v>7220.3</c:v>
                </c:pt>
                <c:pt idx="16">
                  <c:v>7500</c:v>
                </c:pt>
                <c:pt idx="17">
                  <c:v>8500</c:v>
                </c:pt>
                <c:pt idx="18">
                  <c:v>9500</c:v>
                </c:pt>
              </c:numCache>
            </c:numRef>
          </c:xVal>
          <c:yVal>
            <c:numRef>
              <c:f>'Profiles Well C'!$B$3:$B$21</c:f>
              <c:numCache>
                <c:formatCode>General</c:formatCode>
                <c:ptCount val="19"/>
                <c:pt idx="0">
                  <c:v>5200</c:v>
                </c:pt>
                <c:pt idx="1">
                  <c:v>1701.953</c:v>
                </c:pt>
                <c:pt idx="2">
                  <c:v>1701.953</c:v>
                </c:pt>
                <c:pt idx="3">
                  <c:v>1662.355</c:v>
                </c:pt>
                <c:pt idx="4">
                  <c:v>1606.193</c:v>
                </c:pt>
                <c:pt idx="5">
                  <c:v>1606.165</c:v>
                </c:pt>
                <c:pt idx="6">
                  <c:v>1444.12</c:v>
                </c:pt>
                <c:pt idx="7">
                  <c:v>1412.817</c:v>
                </c:pt>
                <c:pt idx="8">
                  <c:v>1242.943</c:v>
                </c:pt>
                <c:pt idx="9">
                  <c:v>1186.0899999999999</c:v>
                </c:pt>
                <c:pt idx="10">
                  <c:v>1034.644</c:v>
                </c:pt>
                <c:pt idx="11">
                  <c:v>891.19870000000003</c:v>
                </c:pt>
                <c:pt idx="12">
                  <c:v>867.67229999999995</c:v>
                </c:pt>
                <c:pt idx="13">
                  <c:v>729.32619999999997</c:v>
                </c:pt>
                <c:pt idx="14">
                  <c:v>708.31740000000002</c:v>
                </c:pt>
                <c:pt idx="15">
                  <c:v>576.16070000000002</c:v>
                </c:pt>
                <c:pt idx="16">
                  <c:v>540.02380000000005</c:v>
                </c:pt>
                <c:pt idx="17">
                  <c:v>415.78710000000001</c:v>
                </c:pt>
                <c:pt idx="18">
                  <c:v>299.96969999999999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97-431D-801E-8C976CD2B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7193888"/>
        <c:axId val="1377183808"/>
      </c:scatterChart>
      <c:valAx>
        <c:axId val="1377193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Distance of flow path (ft)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183808"/>
        <c:crosses val="autoZero"/>
        <c:crossBetween val="midCat"/>
      </c:valAx>
      <c:valAx>
        <c:axId val="137718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Pressure (psia)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193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Temperature</a:t>
            </a:r>
            <a:r>
              <a:rPr lang="en-US" b="1" baseline="0"/>
              <a:t> Profile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'Profiles Well C'!$C$2</c:f>
              <c:strCache>
                <c:ptCount val="1"/>
                <c:pt idx="0">
                  <c:v>Temperature (degF)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'Profiles Well C'!$A$3:$A$21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203.4</c:v>
                </c:pt>
                <c:pt idx="4">
                  <c:v>500</c:v>
                </c:pt>
                <c:pt idx="5">
                  <c:v>500</c:v>
                </c:pt>
                <c:pt idx="6">
                  <c:v>1369.5</c:v>
                </c:pt>
                <c:pt idx="7">
                  <c:v>1545.5</c:v>
                </c:pt>
                <c:pt idx="8">
                  <c:v>2545.5</c:v>
                </c:pt>
                <c:pt idx="9">
                  <c:v>2899.8</c:v>
                </c:pt>
                <c:pt idx="10">
                  <c:v>3899.8</c:v>
                </c:pt>
                <c:pt idx="11">
                  <c:v>4899.8</c:v>
                </c:pt>
                <c:pt idx="12">
                  <c:v>5065.8999999999996</c:v>
                </c:pt>
                <c:pt idx="13">
                  <c:v>6065.9</c:v>
                </c:pt>
                <c:pt idx="14">
                  <c:v>6220.3</c:v>
                </c:pt>
                <c:pt idx="15">
                  <c:v>7220.3</c:v>
                </c:pt>
                <c:pt idx="16">
                  <c:v>7500</c:v>
                </c:pt>
                <c:pt idx="17">
                  <c:v>8500</c:v>
                </c:pt>
                <c:pt idx="18">
                  <c:v>9500</c:v>
                </c:pt>
              </c:numCache>
            </c:numRef>
          </c:xVal>
          <c:yVal>
            <c:numRef>
              <c:f>'Profiles Well C'!$C$3:$C$21</c:f>
              <c:numCache>
                <c:formatCode>General</c:formatCode>
                <c:ptCount val="19"/>
                <c:pt idx="0">
                  <c:v>210</c:v>
                </c:pt>
                <c:pt idx="1">
                  <c:v>215.57849999999999</c:v>
                </c:pt>
                <c:pt idx="2">
                  <c:v>215.57849999999999</c:v>
                </c:pt>
                <c:pt idx="3">
                  <c:v>214.9948</c:v>
                </c:pt>
                <c:pt idx="4">
                  <c:v>214.0095</c:v>
                </c:pt>
                <c:pt idx="5">
                  <c:v>214.00960000000001</c:v>
                </c:pt>
                <c:pt idx="6">
                  <c:v>211.0085</c:v>
                </c:pt>
                <c:pt idx="7">
                  <c:v>210.29750000000001</c:v>
                </c:pt>
                <c:pt idx="8">
                  <c:v>205.63650000000001</c:v>
                </c:pt>
                <c:pt idx="9">
                  <c:v>203.7431</c:v>
                </c:pt>
                <c:pt idx="10">
                  <c:v>197.7766</c:v>
                </c:pt>
                <c:pt idx="11">
                  <c:v>190.95429999999999</c:v>
                </c:pt>
                <c:pt idx="12">
                  <c:v>189.7414</c:v>
                </c:pt>
                <c:pt idx="13">
                  <c:v>182.00380000000001</c:v>
                </c:pt>
                <c:pt idx="14">
                  <c:v>180.74250000000001</c:v>
                </c:pt>
                <c:pt idx="15">
                  <c:v>172.18639999999999</c:v>
                </c:pt>
                <c:pt idx="16">
                  <c:v>169.67009999999999</c:v>
                </c:pt>
                <c:pt idx="17">
                  <c:v>160.28550000000001</c:v>
                </c:pt>
                <c:pt idx="18">
                  <c:v>150.3415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98-4020-A049-B54D13040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3872208"/>
        <c:axId val="1963882288"/>
      </c:scatterChart>
      <c:valAx>
        <c:axId val="1963872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Distance of flow path (ft)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882288"/>
        <c:crosses val="autoZero"/>
        <c:crossBetween val="midCat"/>
      </c:valAx>
      <c:valAx>
        <c:axId val="196388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Temperature (degF)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872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Vsg</a:t>
            </a:r>
            <a:r>
              <a:rPr lang="en-US" b="1" baseline="0"/>
              <a:t> Profile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'Profiles Well C'!$D$2</c:f>
              <c:strCache>
                <c:ptCount val="1"/>
                <c:pt idx="0">
                  <c:v>Vsg (ft/s)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'Profiles Well C'!$A$3:$A$21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203.4</c:v>
                </c:pt>
                <c:pt idx="4">
                  <c:v>500</c:v>
                </c:pt>
                <c:pt idx="5">
                  <c:v>500</c:v>
                </c:pt>
                <c:pt idx="6">
                  <c:v>1369.5</c:v>
                </c:pt>
                <c:pt idx="7">
                  <c:v>1545.5</c:v>
                </c:pt>
                <c:pt idx="8">
                  <c:v>2545.5</c:v>
                </c:pt>
                <c:pt idx="9">
                  <c:v>2899.8</c:v>
                </c:pt>
                <c:pt idx="10">
                  <c:v>3899.8</c:v>
                </c:pt>
                <c:pt idx="11">
                  <c:v>4899.8</c:v>
                </c:pt>
                <c:pt idx="12">
                  <c:v>5065.8999999999996</c:v>
                </c:pt>
                <c:pt idx="13">
                  <c:v>6065.9</c:v>
                </c:pt>
                <c:pt idx="14">
                  <c:v>6220.3</c:v>
                </c:pt>
                <c:pt idx="15">
                  <c:v>7220.3</c:v>
                </c:pt>
                <c:pt idx="16">
                  <c:v>7500</c:v>
                </c:pt>
                <c:pt idx="17">
                  <c:v>8500</c:v>
                </c:pt>
                <c:pt idx="18">
                  <c:v>9500</c:v>
                </c:pt>
              </c:numCache>
            </c:numRef>
          </c:xVal>
          <c:yVal>
            <c:numRef>
              <c:f>'Profiles Well C'!$D$3:$D$21</c:f>
              <c:numCache>
                <c:formatCode>General</c:formatCode>
                <c:ptCount val="19"/>
                <c:pt idx="2">
                  <c:v>1.0241229999999999</c:v>
                </c:pt>
                <c:pt idx="3">
                  <c:v>1.057863</c:v>
                </c:pt>
                <c:pt idx="4">
                  <c:v>1.108436</c:v>
                </c:pt>
                <c:pt idx="5">
                  <c:v>2.6888839999999998</c:v>
                </c:pt>
                <c:pt idx="6">
                  <c:v>3.096638</c:v>
                </c:pt>
                <c:pt idx="7">
                  <c:v>3.1855859999999998</c:v>
                </c:pt>
                <c:pt idx="8">
                  <c:v>3.7418290000000001</c:v>
                </c:pt>
                <c:pt idx="9">
                  <c:v>3.961627</c:v>
                </c:pt>
                <c:pt idx="10">
                  <c:v>4.6590920000000002</c:v>
                </c:pt>
                <c:pt idx="11">
                  <c:v>5.5311579999999996</c:v>
                </c:pt>
                <c:pt idx="12">
                  <c:v>5.7013299999999996</c:v>
                </c:pt>
                <c:pt idx="13">
                  <c:v>6.9213069999999997</c:v>
                </c:pt>
                <c:pt idx="14">
                  <c:v>7.1479429999999997</c:v>
                </c:pt>
                <c:pt idx="15">
                  <c:v>8.9494509999999998</c:v>
                </c:pt>
                <c:pt idx="16">
                  <c:v>9.5949399999999994</c:v>
                </c:pt>
                <c:pt idx="17">
                  <c:v>12.664949999999999</c:v>
                </c:pt>
                <c:pt idx="18">
                  <c:v>17.80414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B7-4F76-9FFA-1F13A7BF6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3964672"/>
        <c:axId val="1713981952"/>
      </c:scatterChart>
      <c:valAx>
        <c:axId val="1713964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Distance of flow path (ft)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981952"/>
        <c:crosses val="autoZero"/>
        <c:crossBetween val="midCat"/>
      </c:valAx>
      <c:valAx>
        <c:axId val="171398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Vsg (ft/s)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964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Pressure</a:t>
            </a:r>
            <a:r>
              <a:rPr lang="en-US" b="1" baseline="0"/>
              <a:t> Profile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'Profiles_Well D'!$B$2</c:f>
              <c:strCache>
                <c:ptCount val="1"/>
                <c:pt idx="0">
                  <c:v>Pressure (psia)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'Profiles_Well D'!$A$3:$A$13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200</c:v>
                </c:pt>
                <c:pt idx="4">
                  <c:v>200</c:v>
                </c:pt>
                <c:pt idx="5">
                  <c:v>1200</c:v>
                </c:pt>
                <c:pt idx="6">
                  <c:v>2200</c:v>
                </c:pt>
                <c:pt idx="7">
                  <c:v>3200</c:v>
                </c:pt>
                <c:pt idx="8">
                  <c:v>4200</c:v>
                </c:pt>
                <c:pt idx="9">
                  <c:v>5200</c:v>
                </c:pt>
                <c:pt idx="10">
                  <c:v>6200</c:v>
                </c:pt>
              </c:numCache>
            </c:numRef>
          </c:xVal>
          <c:yVal>
            <c:numRef>
              <c:f>'Profiles_Well D'!$B$3:$B$13</c:f>
              <c:numCache>
                <c:formatCode>General</c:formatCode>
                <c:ptCount val="11"/>
                <c:pt idx="0">
                  <c:v>3000</c:v>
                </c:pt>
                <c:pt idx="1">
                  <c:v>1576.098</c:v>
                </c:pt>
                <c:pt idx="2">
                  <c:v>1576.098</c:v>
                </c:pt>
                <c:pt idx="3">
                  <c:v>1508.047</c:v>
                </c:pt>
                <c:pt idx="4">
                  <c:v>1508.0440000000001</c:v>
                </c:pt>
                <c:pt idx="5">
                  <c:v>1243.289</c:v>
                </c:pt>
                <c:pt idx="6">
                  <c:v>1003.968</c:v>
                </c:pt>
                <c:pt idx="7">
                  <c:v>792.71640000000002</c:v>
                </c:pt>
                <c:pt idx="8">
                  <c:v>611.41750000000002</c:v>
                </c:pt>
                <c:pt idx="9">
                  <c:v>452.62259999999998</c:v>
                </c:pt>
                <c:pt idx="10">
                  <c:v>300.1096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C1-4A54-9071-48BA7017F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634864"/>
        <c:axId val="2125629104"/>
      </c:scatterChart>
      <c:valAx>
        <c:axId val="2125634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Distance of flow path (ft)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629104"/>
        <c:crosses val="autoZero"/>
        <c:crossBetween val="midCat"/>
      </c:valAx>
      <c:valAx>
        <c:axId val="212562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Pressure (psia)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634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Temperature</a:t>
            </a:r>
            <a:r>
              <a:rPr lang="en-US" b="1" baseline="0"/>
              <a:t> Profile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'Profiles_Well D'!$C$2</c:f>
              <c:strCache>
                <c:ptCount val="1"/>
                <c:pt idx="0">
                  <c:v>Temperature (degF)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'Profiles_Well D'!$A$3:$A$13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200</c:v>
                </c:pt>
                <c:pt idx="4">
                  <c:v>200</c:v>
                </c:pt>
                <c:pt idx="5">
                  <c:v>1200</c:v>
                </c:pt>
                <c:pt idx="6">
                  <c:v>2200</c:v>
                </c:pt>
                <c:pt idx="7">
                  <c:v>3200</c:v>
                </c:pt>
                <c:pt idx="8">
                  <c:v>4200</c:v>
                </c:pt>
                <c:pt idx="9">
                  <c:v>5200</c:v>
                </c:pt>
                <c:pt idx="10">
                  <c:v>6200</c:v>
                </c:pt>
              </c:numCache>
            </c:numRef>
          </c:xVal>
          <c:yVal>
            <c:numRef>
              <c:f>'Profiles_Well D'!$C$3:$C$13</c:f>
              <c:numCache>
                <c:formatCode>General</c:formatCode>
                <c:ptCount val="11"/>
                <c:pt idx="0">
                  <c:v>160</c:v>
                </c:pt>
                <c:pt idx="1">
                  <c:v>162.07149999999999</c:v>
                </c:pt>
                <c:pt idx="2">
                  <c:v>162.07149999999999</c:v>
                </c:pt>
                <c:pt idx="3">
                  <c:v>161.02619999999999</c:v>
                </c:pt>
                <c:pt idx="4">
                  <c:v>161.02619999999999</c:v>
                </c:pt>
                <c:pt idx="5">
                  <c:v>155.02879999999999</c:v>
                </c:pt>
                <c:pt idx="6">
                  <c:v>145.70429999999999</c:v>
                </c:pt>
                <c:pt idx="7">
                  <c:v>134.3262</c:v>
                </c:pt>
                <c:pt idx="8">
                  <c:v>121.6979</c:v>
                </c:pt>
                <c:pt idx="9">
                  <c:v>108.3051</c:v>
                </c:pt>
                <c:pt idx="10">
                  <c:v>94.439520000000002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57-47EE-BFEE-0493E50CE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602704"/>
        <c:axId val="2125603664"/>
      </c:scatterChart>
      <c:valAx>
        <c:axId val="212560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Distance of flow path (ft)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603664"/>
        <c:crosses val="autoZero"/>
        <c:crossBetween val="midCat"/>
      </c:valAx>
      <c:valAx>
        <c:axId val="212560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Temperature (degF)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602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Vsg</a:t>
            </a:r>
            <a:r>
              <a:rPr lang="en-US" b="1" baseline="0"/>
              <a:t> Profile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'Profiles_Well D'!$D$2</c:f>
              <c:strCache>
                <c:ptCount val="1"/>
                <c:pt idx="0">
                  <c:v>Vsg (ft/s)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'Profiles_Well D'!$A$3:$A$13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200</c:v>
                </c:pt>
                <c:pt idx="4">
                  <c:v>200</c:v>
                </c:pt>
                <c:pt idx="5">
                  <c:v>1200</c:v>
                </c:pt>
                <c:pt idx="6">
                  <c:v>2200</c:v>
                </c:pt>
                <c:pt idx="7">
                  <c:v>3200</c:v>
                </c:pt>
                <c:pt idx="8">
                  <c:v>4200</c:v>
                </c:pt>
                <c:pt idx="9">
                  <c:v>5200</c:v>
                </c:pt>
                <c:pt idx="10">
                  <c:v>6200</c:v>
                </c:pt>
              </c:numCache>
            </c:numRef>
          </c:xVal>
          <c:yVal>
            <c:numRef>
              <c:f>'Profiles_Well D'!$D$3:$D$13</c:f>
              <c:numCache>
                <c:formatCode>General</c:formatCode>
                <c:ptCount val="11"/>
                <c:pt idx="2">
                  <c:v>4.9234460000000001E-2</c:v>
                </c:pt>
                <c:pt idx="3">
                  <c:v>5.3917420000000001E-2</c:v>
                </c:pt>
                <c:pt idx="4">
                  <c:v>0.3252718</c:v>
                </c:pt>
                <c:pt idx="5">
                  <c:v>0.46317649999999999</c:v>
                </c:pt>
                <c:pt idx="6">
                  <c:v>0.64570629999999996</c:v>
                </c:pt>
                <c:pt idx="7">
                  <c:v>0.89496489999999995</c:v>
                </c:pt>
                <c:pt idx="8">
                  <c:v>1.2429889999999999</c:v>
                </c:pt>
                <c:pt idx="9">
                  <c:v>1.7749239999999999</c:v>
                </c:pt>
                <c:pt idx="10">
                  <c:v>2.8230840000000001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28-434E-967B-9CA927B78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705728"/>
        <c:axId val="301708608"/>
      </c:scatterChart>
      <c:valAx>
        <c:axId val="30170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Distance of flow path (ft)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708608"/>
        <c:crosses val="autoZero"/>
        <c:crossBetween val="midCat"/>
      </c:valAx>
      <c:valAx>
        <c:axId val="30170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Vsg (ft/s)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705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Pressure</a:t>
            </a:r>
            <a:r>
              <a:rPr lang="en-US" b="1" baseline="0"/>
              <a:t> Profile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'Profiles_Well E'!$B$2</c:f>
              <c:strCache>
                <c:ptCount val="1"/>
                <c:pt idx="0">
                  <c:v>Pressure (psia)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'Profiles_Well E'!$A$3:$A$28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200</c:v>
                </c:pt>
                <c:pt idx="4">
                  <c:v>200</c:v>
                </c:pt>
                <c:pt idx="5">
                  <c:v>535.4</c:v>
                </c:pt>
                <c:pt idx="6">
                  <c:v>588.1</c:v>
                </c:pt>
                <c:pt idx="7">
                  <c:v>1588.1</c:v>
                </c:pt>
                <c:pt idx="8">
                  <c:v>1649.6</c:v>
                </c:pt>
                <c:pt idx="9">
                  <c:v>2649.6</c:v>
                </c:pt>
                <c:pt idx="10">
                  <c:v>2722.7</c:v>
                </c:pt>
                <c:pt idx="11">
                  <c:v>3722.7</c:v>
                </c:pt>
                <c:pt idx="12">
                  <c:v>3802.8</c:v>
                </c:pt>
                <c:pt idx="13">
                  <c:v>4802.8</c:v>
                </c:pt>
                <c:pt idx="14">
                  <c:v>4886.8</c:v>
                </c:pt>
                <c:pt idx="15">
                  <c:v>5886.8</c:v>
                </c:pt>
                <c:pt idx="16">
                  <c:v>5966.9</c:v>
                </c:pt>
                <c:pt idx="17">
                  <c:v>6966.9</c:v>
                </c:pt>
                <c:pt idx="18">
                  <c:v>7040</c:v>
                </c:pt>
                <c:pt idx="19">
                  <c:v>8040</c:v>
                </c:pt>
                <c:pt idx="20">
                  <c:v>8101.5</c:v>
                </c:pt>
                <c:pt idx="21">
                  <c:v>9101.5</c:v>
                </c:pt>
                <c:pt idx="22">
                  <c:v>9154.2000000000007</c:v>
                </c:pt>
                <c:pt idx="23">
                  <c:v>10154.200000000001</c:v>
                </c:pt>
                <c:pt idx="24">
                  <c:v>10200</c:v>
                </c:pt>
                <c:pt idx="25">
                  <c:v>11200</c:v>
                </c:pt>
              </c:numCache>
            </c:numRef>
          </c:xVal>
          <c:yVal>
            <c:numRef>
              <c:f>'Profiles_Well E'!$B$3:$B$28</c:f>
              <c:numCache>
                <c:formatCode>General</c:formatCode>
                <c:ptCount val="26"/>
                <c:pt idx="0">
                  <c:v>4800</c:v>
                </c:pt>
                <c:pt idx="1">
                  <c:v>3046.2730000000001</c:v>
                </c:pt>
                <c:pt idx="2">
                  <c:v>3046.2730000000001</c:v>
                </c:pt>
                <c:pt idx="3">
                  <c:v>2977.6840000000002</c:v>
                </c:pt>
                <c:pt idx="4">
                  <c:v>2977.6689999999999</c:v>
                </c:pt>
                <c:pt idx="5">
                  <c:v>2868.5369999999998</c:v>
                </c:pt>
                <c:pt idx="6">
                  <c:v>2851.57</c:v>
                </c:pt>
                <c:pt idx="7">
                  <c:v>2534.4189999999999</c:v>
                </c:pt>
                <c:pt idx="8">
                  <c:v>2515.4070000000002</c:v>
                </c:pt>
                <c:pt idx="9">
                  <c:v>2212.038</c:v>
                </c:pt>
                <c:pt idx="10">
                  <c:v>2190.529</c:v>
                </c:pt>
                <c:pt idx="11">
                  <c:v>1903.2429999999999</c:v>
                </c:pt>
                <c:pt idx="12">
                  <c:v>1880.9949999999999</c:v>
                </c:pt>
                <c:pt idx="13">
                  <c:v>1611.5619999999999</c:v>
                </c:pt>
                <c:pt idx="14">
                  <c:v>1589.7349999999999</c:v>
                </c:pt>
                <c:pt idx="15">
                  <c:v>1339.732</c:v>
                </c:pt>
                <c:pt idx="16">
                  <c:v>1320.491</c:v>
                </c:pt>
                <c:pt idx="17">
                  <c:v>1091.6659999999999</c:v>
                </c:pt>
                <c:pt idx="18">
                  <c:v>1075.69</c:v>
                </c:pt>
                <c:pt idx="19">
                  <c:v>869.89509999999996</c:v>
                </c:pt>
                <c:pt idx="20">
                  <c:v>857.78980000000001</c:v>
                </c:pt>
                <c:pt idx="21">
                  <c:v>666.99919999999997</c:v>
                </c:pt>
                <c:pt idx="22">
                  <c:v>657.17669999999998</c:v>
                </c:pt>
                <c:pt idx="23">
                  <c:v>476.78750000000002</c:v>
                </c:pt>
                <c:pt idx="24">
                  <c:v>468.7593</c:v>
                </c:pt>
                <c:pt idx="25">
                  <c:v>300.59219999999999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E4-4406-8DA0-36CC19888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507536"/>
        <c:axId val="533513776"/>
      </c:scatterChart>
      <c:valAx>
        <c:axId val="533507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Distance of flow</a:t>
                </a:r>
                <a:r>
                  <a:rPr lang="en-US" b="1" baseline="0"/>
                  <a:t> path </a:t>
                </a:r>
                <a:r>
                  <a:rPr lang="en-US" b="1"/>
                  <a:t>(ft)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513776"/>
        <c:crosses val="autoZero"/>
        <c:crossBetween val="midCat"/>
      </c:valAx>
      <c:valAx>
        <c:axId val="53351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Pressure (psia)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507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Temperature</a:t>
            </a:r>
            <a:r>
              <a:rPr lang="en-US" b="1" baseline="0"/>
              <a:t> Profile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'Profiles_Well E'!$C$2</c:f>
              <c:strCache>
                <c:ptCount val="1"/>
                <c:pt idx="0">
                  <c:v>Temperature (degF)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'Profiles_Well E'!$A$3:$A$28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200</c:v>
                </c:pt>
                <c:pt idx="4">
                  <c:v>200</c:v>
                </c:pt>
                <c:pt idx="5">
                  <c:v>535.4</c:v>
                </c:pt>
                <c:pt idx="6">
                  <c:v>588.1</c:v>
                </c:pt>
                <c:pt idx="7">
                  <c:v>1588.1</c:v>
                </c:pt>
                <c:pt idx="8">
                  <c:v>1649.6</c:v>
                </c:pt>
                <c:pt idx="9">
                  <c:v>2649.6</c:v>
                </c:pt>
                <c:pt idx="10">
                  <c:v>2722.7</c:v>
                </c:pt>
                <c:pt idx="11">
                  <c:v>3722.7</c:v>
                </c:pt>
                <c:pt idx="12">
                  <c:v>3802.8</c:v>
                </c:pt>
                <c:pt idx="13">
                  <c:v>4802.8</c:v>
                </c:pt>
                <c:pt idx="14">
                  <c:v>4886.8</c:v>
                </c:pt>
                <c:pt idx="15">
                  <c:v>5886.8</c:v>
                </c:pt>
                <c:pt idx="16">
                  <c:v>5966.9</c:v>
                </c:pt>
                <c:pt idx="17">
                  <c:v>6966.9</c:v>
                </c:pt>
                <c:pt idx="18">
                  <c:v>7040</c:v>
                </c:pt>
                <c:pt idx="19">
                  <c:v>8040</c:v>
                </c:pt>
                <c:pt idx="20">
                  <c:v>8101.5</c:v>
                </c:pt>
                <c:pt idx="21">
                  <c:v>9101.5</c:v>
                </c:pt>
                <c:pt idx="22">
                  <c:v>9154.2000000000007</c:v>
                </c:pt>
                <c:pt idx="23">
                  <c:v>10154.200000000001</c:v>
                </c:pt>
                <c:pt idx="24">
                  <c:v>10200</c:v>
                </c:pt>
                <c:pt idx="25">
                  <c:v>11200</c:v>
                </c:pt>
              </c:numCache>
            </c:numRef>
          </c:xVal>
          <c:yVal>
            <c:numRef>
              <c:f>'Profiles_Well E'!$C$3:$C$28</c:f>
              <c:numCache>
                <c:formatCode>General</c:formatCode>
                <c:ptCount val="26"/>
                <c:pt idx="0">
                  <c:v>205</c:v>
                </c:pt>
                <c:pt idx="1">
                  <c:v>210.71610000000001</c:v>
                </c:pt>
                <c:pt idx="2">
                  <c:v>210.71610000000001</c:v>
                </c:pt>
                <c:pt idx="3">
                  <c:v>209.95910000000001</c:v>
                </c:pt>
                <c:pt idx="4">
                  <c:v>209.95910000000001</c:v>
                </c:pt>
                <c:pt idx="5">
                  <c:v>209.0412</c:v>
                </c:pt>
                <c:pt idx="6">
                  <c:v>208.88069999999999</c:v>
                </c:pt>
                <c:pt idx="7">
                  <c:v>205.0282</c:v>
                </c:pt>
                <c:pt idx="8">
                  <c:v>204.745</c:v>
                </c:pt>
                <c:pt idx="9">
                  <c:v>199.46279999999999</c:v>
                </c:pt>
                <c:pt idx="10">
                  <c:v>199.03049999999999</c:v>
                </c:pt>
                <c:pt idx="11">
                  <c:v>192.55090000000001</c:v>
                </c:pt>
                <c:pt idx="12">
                  <c:v>191.9897</c:v>
                </c:pt>
                <c:pt idx="13">
                  <c:v>184.51609999999999</c:v>
                </c:pt>
                <c:pt idx="14">
                  <c:v>183.85149999999999</c:v>
                </c:pt>
                <c:pt idx="15">
                  <c:v>175.55269999999999</c:v>
                </c:pt>
                <c:pt idx="16">
                  <c:v>174.85810000000001</c:v>
                </c:pt>
                <c:pt idx="17">
                  <c:v>165.86779999999999</c:v>
                </c:pt>
                <c:pt idx="18">
                  <c:v>165.1874</c:v>
                </c:pt>
                <c:pt idx="19">
                  <c:v>155.61330000000001</c:v>
                </c:pt>
                <c:pt idx="20">
                  <c:v>155.0078</c:v>
                </c:pt>
                <c:pt idx="21">
                  <c:v>144.946</c:v>
                </c:pt>
                <c:pt idx="22">
                  <c:v>144.40369999999999</c:v>
                </c:pt>
                <c:pt idx="23">
                  <c:v>133.92920000000001</c:v>
                </c:pt>
                <c:pt idx="24">
                  <c:v>133.44069999999999</c:v>
                </c:pt>
                <c:pt idx="25">
                  <c:v>122.6182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B7-437B-B995-8D86AB255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3878928"/>
        <c:axId val="1963879408"/>
      </c:scatterChart>
      <c:valAx>
        <c:axId val="196387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Distance of flow path (ft)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879408"/>
        <c:crosses val="autoZero"/>
        <c:crossBetween val="midCat"/>
      </c:valAx>
      <c:valAx>
        <c:axId val="196387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Temperature (degF)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878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Vsg</a:t>
            </a:r>
            <a:r>
              <a:rPr lang="en-US" b="1" baseline="0"/>
              <a:t> Profile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'Profiles_Well E'!$D$2</c:f>
              <c:strCache>
                <c:ptCount val="1"/>
                <c:pt idx="0">
                  <c:v>Vsg (ft/s)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'Profiles_Well E'!$A$3:$A$28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200</c:v>
                </c:pt>
                <c:pt idx="4">
                  <c:v>200</c:v>
                </c:pt>
                <c:pt idx="5">
                  <c:v>535.4</c:v>
                </c:pt>
                <c:pt idx="6">
                  <c:v>588.1</c:v>
                </c:pt>
                <c:pt idx="7">
                  <c:v>1588.1</c:v>
                </c:pt>
                <c:pt idx="8">
                  <c:v>1649.6</c:v>
                </c:pt>
                <c:pt idx="9">
                  <c:v>2649.6</c:v>
                </c:pt>
                <c:pt idx="10">
                  <c:v>2722.7</c:v>
                </c:pt>
                <c:pt idx="11">
                  <c:v>3722.7</c:v>
                </c:pt>
                <c:pt idx="12">
                  <c:v>3802.8</c:v>
                </c:pt>
                <c:pt idx="13">
                  <c:v>4802.8</c:v>
                </c:pt>
                <c:pt idx="14">
                  <c:v>4886.8</c:v>
                </c:pt>
                <c:pt idx="15">
                  <c:v>5886.8</c:v>
                </c:pt>
                <c:pt idx="16">
                  <c:v>5966.9</c:v>
                </c:pt>
                <c:pt idx="17">
                  <c:v>6966.9</c:v>
                </c:pt>
                <c:pt idx="18">
                  <c:v>7040</c:v>
                </c:pt>
                <c:pt idx="19">
                  <c:v>8040</c:v>
                </c:pt>
                <c:pt idx="20">
                  <c:v>8101.5</c:v>
                </c:pt>
                <c:pt idx="21">
                  <c:v>9101.5</c:v>
                </c:pt>
                <c:pt idx="22">
                  <c:v>9154.2000000000007</c:v>
                </c:pt>
                <c:pt idx="23">
                  <c:v>10154.200000000001</c:v>
                </c:pt>
                <c:pt idx="24">
                  <c:v>10200</c:v>
                </c:pt>
                <c:pt idx="25">
                  <c:v>11200</c:v>
                </c:pt>
              </c:numCache>
            </c:numRef>
          </c:xVal>
          <c:yVal>
            <c:numRef>
              <c:f>'Profiles_Well E'!$D$3:$D$28</c:f>
              <c:numCache>
                <c:formatCode>General</c:formatCode>
                <c:ptCount val="26"/>
                <c:pt idx="2">
                  <c:v>4.4250999999999999E-2</c:v>
                </c:pt>
                <c:pt idx="3">
                  <c:v>4.7795079999999997E-2</c:v>
                </c:pt>
                <c:pt idx="4">
                  <c:v>0.28832950000000002</c:v>
                </c:pt>
                <c:pt idx="5">
                  <c:v>0.32455699999999998</c:v>
                </c:pt>
                <c:pt idx="6">
                  <c:v>0.330372</c:v>
                </c:pt>
                <c:pt idx="7">
                  <c:v>0.44932539999999999</c:v>
                </c:pt>
                <c:pt idx="8">
                  <c:v>0.45718530000000002</c:v>
                </c:pt>
                <c:pt idx="9">
                  <c:v>0.59781479999999998</c:v>
                </c:pt>
                <c:pt idx="10">
                  <c:v>0.60906459999999996</c:v>
                </c:pt>
                <c:pt idx="11">
                  <c:v>0.78159219999999996</c:v>
                </c:pt>
                <c:pt idx="12">
                  <c:v>0.79700559999999998</c:v>
                </c:pt>
                <c:pt idx="13">
                  <c:v>1.0162439999999999</c:v>
                </c:pt>
                <c:pt idx="14">
                  <c:v>1.03718</c:v>
                </c:pt>
                <c:pt idx="15">
                  <c:v>1.325194</c:v>
                </c:pt>
                <c:pt idx="16">
                  <c:v>1.3518650000000001</c:v>
                </c:pt>
                <c:pt idx="17">
                  <c:v>1.741179</c:v>
                </c:pt>
                <c:pt idx="18">
                  <c:v>1.7745649999999999</c:v>
                </c:pt>
                <c:pt idx="19">
                  <c:v>2.3142930000000002</c:v>
                </c:pt>
                <c:pt idx="20">
                  <c:v>2.354155</c:v>
                </c:pt>
                <c:pt idx="21">
                  <c:v>3.1763499999999998</c:v>
                </c:pt>
                <c:pt idx="22">
                  <c:v>3.231779</c:v>
                </c:pt>
                <c:pt idx="23">
                  <c:v>4.6603870000000001</c:v>
                </c:pt>
                <c:pt idx="24">
                  <c:v>4.7497439999999997</c:v>
                </c:pt>
                <c:pt idx="25">
                  <c:v>7.7244770000000003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76-42F4-86DD-35899B983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670384"/>
        <c:axId val="2125675184"/>
      </c:scatterChart>
      <c:valAx>
        <c:axId val="2125670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Distance of flow path (ft)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675184"/>
        <c:crosses val="autoZero"/>
        <c:crossBetween val="midCat"/>
      </c:valAx>
      <c:valAx>
        <c:axId val="212567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Vsg (ft/s)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670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Pressure</a:t>
            </a:r>
            <a:r>
              <a:rPr lang="en-US" b="1" baseline="0"/>
              <a:t> Profile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'Profiles_Well F'!$B$2</c:f>
              <c:strCache>
                <c:ptCount val="1"/>
                <c:pt idx="0">
                  <c:v>Pressure (psia)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'Profiles_Well F'!$A$3:$A$13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300</c:v>
                </c:pt>
                <c:pt idx="4">
                  <c:v>300</c:v>
                </c:pt>
                <c:pt idx="5">
                  <c:v>800</c:v>
                </c:pt>
                <c:pt idx="6">
                  <c:v>1800</c:v>
                </c:pt>
                <c:pt idx="7">
                  <c:v>2800</c:v>
                </c:pt>
                <c:pt idx="8">
                  <c:v>3800</c:v>
                </c:pt>
                <c:pt idx="9">
                  <c:v>4800</c:v>
                </c:pt>
                <c:pt idx="10">
                  <c:v>5800</c:v>
                </c:pt>
              </c:numCache>
            </c:numRef>
          </c:xVal>
          <c:yVal>
            <c:numRef>
              <c:f>'Profiles_Well F'!$B$3:$B$13</c:f>
              <c:numCache>
                <c:formatCode>General</c:formatCode>
                <c:ptCount val="11"/>
                <c:pt idx="0">
                  <c:v>2800</c:v>
                </c:pt>
                <c:pt idx="1">
                  <c:v>2431.6329999999998</c:v>
                </c:pt>
                <c:pt idx="2">
                  <c:v>2431.6329999999998</c:v>
                </c:pt>
                <c:pt idx="3">
                  <c:v>2319.2190000000001</c:v>
                </c:pt>
                <c:pt idx="4">
                  <c:v>2319.2190000000001</c:v>
                </c:pt>
                <c:pt idx="5">
                  <c:v>2131.636</c:v>
                </c:pt>
                <c:pt idx="6">
                  <c:v>1755.6110000000001</c:v>
                </c:pt>
                <c:pt idx="7">
                  <c:v>1378.1690000000001</c:v>
                </c:pt>
                <c:pt idx="8">
                  <c:v>1001.021</c:v>
                </c:pt>
                <c:pt idx="9">
                  <c:v>631.88900000000001</c:v>
                </c:pt>
                <c:pt idx="10">
                  <c:v>299.5086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7C-4DF7-BB83-9EC3A60BB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685088"/>
        <c:axId val="301689408"/>
      </c:scatterChart>
      <c:valAx>
        <c:axId val="301685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Distance of flow path (ft)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689408"/>
        <c:crosses val="autoZero"/>
        <c:crossBetween val="midCat"/>
      </c:valAx>
      <c:valAx>
        <c:axId val="30168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Pressure (psia)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685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Temperature</a:t>
            </a:r>
            <a:r>
              <a:rPr lang="en-US" b="1" baseline="0"/>
              <a:t> Profile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'Profiles_Well F'!$C$2</c:f>
              <c:strCache>
                <c:ptCount val="1"/>
                <c:pt idx="0">
                  <c:v>Temperature (degF)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'Profiles_Well F'!$A$3:$A$13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300</c:v>
                </c:pt>
                <c:pt idx="4">
                  <c:v>300</c:v>
                </c:pt>
                <c:pt idx="5">
                  <c:v>800</c:v>
                </c:pt>
                <c:pt idx="6">
                  <c:v>1800</c:v>
                </c:pt>
                <c:pt idx="7">
                  <c:v>2800</c:v>
                </c:pt>
                <c:pt idx="8">
                  <c:v>3800</c:v>
                </c:pt>
                <c:pt idx="9">
                  <c:v>4800</c:v>
                </c:pt>
                <c:pt idx="10">
                  <c:v>5800</c:v>
                </c:pt>
              </c:numCache>
            </c:numRef>
          </c:xVal>
          <c:yVal>
            <c:numRef>
              <c:f>'Profiles_Well F'!$C$3:$C$13</c:f>
              <c:numCache>
                <c:formatCode>General</c:formatCode>
                <c:ptCount val="11"/>
                <c:pt idx="0">
                  <c:v>155</c:v>
                </c:pt>
                <c:pt idx="1">
                  <c:v>156.97999999999999</c:v>
                </c:pt>
                <c:pt idx="2">
                  <c:v>156.97999999999999</c:v>
                </c:pt>
                <c:pt idx="3">
                  <c:v>153.32669999999999</c:v>
                </c:pt>
                <c:pt idx="4">
                  <c:v>153.32669999999999</c:v>
                </c:pt>
                <c:pt idx="5">
                  <c:v>148.7133</c:v>
                </c:pt>
                <c:pt idx="6">
                  <c:v>135.29320000000001</c:v>
                </c:pt>
                <c:pt idx="7">
                  <c:v>120.2351</c:v>
                </c:pt>
                <c:pt idx="8">
                  <c:v>105.4851</c:v>
                </c:pt>
                <c:pt idx="9">
                  <c:v>90.777270000000001</c:v>
                </c:pt>
                <c:pt idx="10">
                  <c:v>76.045659999999998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C4-4C84-AEDE-6674CE410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3897168"/>
        <c:axId val="1963888528"/>
      </c:scatterChart>
      <c:valAx>
        <c:axId val="1963897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Distance of flow path (ft)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888528"/>
        <c:crosses val="autoZero"/>
        <c:crossBetween val="midCat"/>
      </c:valAx>
      <c:valAx>
        <c:axId val="196388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Temperature (degF)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897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Vsg</a:t>
            </a:r>
            <a:r>
              <a:rPr lang="en-US" b="1" baseline="0"/>
              <a:t> Profile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'Profiles_Well F'!$D$2</c:f>
              <c:strCache>
                <c:ptCount val="1"/>
                <c:pt idx="0">
                  <c:v>Vsg (ft/s)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'Profiles_Well F'!$A$3:$A$13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300</c:v>
                </c:pt>
                <c:pt idx="4">
                  <c:v>300</c:v>
                </c:pt>
                <c:pt idx="5">
                  <c:v>800</c:v>
                </c:pt>
                <c:pt idx="6">
                  <c:v>1800</c:v>
                </c:pt>
                <c:pt idx="7">
                  <c:v>2800</c:v>
                </c:pt>
                <c:pt idx="8">
                  <c:v>3800</c:v>
                </c:pt>
                <c:pt idx="9">
                  <c:v>4800</c:v>
                </c:pt>
                <c:pt idx="10">
                  <c:v>5800</c:v>
                </c:pt>
              </c:numCache>
            </c:numRef>
          </c:xVal>
          <c:yVal>
            <c:numRef>
              <c:f>'Profiles_Well F'!$D$3:$D$13</c:f>
              <c:numCache>
                <c:formatCode>General</c:formatCode>
                <c:ptCount val="11"/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1.97064E-4</c:v>
                </c:pt>
                <c:pt idx="7">
                  <c:v>1.437065E-2</c:v>
                </c:pt>
                <c:pt idx="8">
                  <c:v>3.9525940000000002E-2</c:v>
                </c:pt>
                <c:pt idx="9">
                  <c:v>9.557968E-2</c:v>
                </c:pt>
                <c:pt idx="10">
                  <c:v>0.27123809999999998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20-4C0B-9DBE-470385E6B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733520"/>
        <c:axId val="558734480"/>
      </c:scatterChart>
      <c:valAx>
        <c:axId val="558733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Distance of flow path (ft)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734480"/>
        <c:crosses val="autoZero"/>
        <c:crossBetween val="midCat"/>
      </c:valAx>
      <c:valAx>
        <c:axId val="55873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Vsg (ft/s)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733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Oil Production Rate vs Time for Wells A-F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Well 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Oil_Production!$A$2:$A$7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Oil_Production!$B$2:$B$7</c:f>
              <c:numCache>
                <c:formatCode>General</c:formatCode>
                <c:ptCount val="6"/>
                <c:pt idx="0">
                  <c:v>578.98</c:v>
                </c:pt>
                <c:pt idx="1">
                  <c:v>503.33</c:v>
                </c:pt>
                <c:pt idx="2">
                  <c:v>430.71</c:v>
                </c:pt>
                <c:pt idx="3">
                  <c:v>359.58</c:v>
                </c:pt>
                <c:pt idx="4">
                  <c:v>378.96</c:v>
                </c:pt>
                <c:pt idx="5">
                  <c:v>331.11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45-4011-AF81-5012D19457F6}"/>
            </c:ext>
          </c:extLst>
        </c:ser>
        <c:ser>
          <c:idx val="1"/>
          <c:order val="1"/>
          <c:tx>
            <c:v>Well 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Oil_Production!$A$2:$A$7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Oil_Production!$C$2:$C$7</c:f>
              <c:numCache>
                <c:formatCode>General</c:formatCode>
                <c:ptCount val="6"/>
                <c:pt idx="0">
                  <c:v>1100.31</c:v>
                </c:pt>
                <c:pt idx="1">
                  <c:v>766.26</c:v>
                </c:pt>
                <c:pt idx="2">
                  <c:v>641.11</c:v>
                </c:pt>
                <c:pt idx="3">
                  <c:v>457.37</c:v>
                </c:pt>
                <c:pt idx="4">
                  <c:v>313.18</c:v>
                </c:pt>
                <c:pt idx="5">
                  <c:v>223.7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45-4011-AF81-5012D19457F6}"/>
            </c:ext>
          </c:extLst>
        </c:ser>
        <c:ser>
          <c:idx val="2"/>
          <c:order val="2"/>
          <c:tx>
            <c:v>Well 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Oil_Production!$A$2:$A$7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Oil_Production!$D$2:$D$7</c:f>
              <c:numCache>
                <c:formatCode>General</c:formatCode>
                <c:ptCount val="6"/>
                <c:pt idx="0">
                  <c:v>1721.28</c:v>
                </c:pt>
                <c:pt idx="1">
                  <c:v>1612.87</c:v>
                </c:pt>
                <c:pt idx="2">
                  <c:v>965.31</c:v>
                </c:pt>
                <c:pt idx="3">
                  <c:v>617.9</c:v>
                </c:pt>
                <c:pt idx="4">
                  <c:v>332.19</c:v>
                </c:pt>
                <c:pt idx="5">
                  <c:v>204.23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45-4011-AF81-5012D19457F6}"/>
            </c:ext>
          </c:extLst>
        </c:ser>
        <c:ser>
          <c:idx val="3"/>
          <c:order val="3"/>
          <c:tx>
            <c:v>Well D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Oil_Production!$A$2:$A$7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Oil_Production!$E$2:$E$7</c:f>
              <c:numCache>
                <c:formatCode>General</c:formatCode>
                <c:ptCount val="6"/>
                <c:pt idx="0">
                  <c:v>261.52999999999997</c:v>
                </c:pt>
                <c:pt idx="1">
                  <c:v>175.92</c:v>
                </c:pt>
                <c:pt idx="2">
                  <c:v>305.54000000000002</c:v>
                </c:pt>
                <c:pt idx="3">
                  <c:v>311.94</c:v>
                </c:pt>
                <c:pt idx="4">
                  <c:v>318.06</c:v>
                </c:pt>
                <c:pt idx="5">
                  <c:v>323.66000000000003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D45-4011-AF81-5012D19457F6}"/>
            </c:ext>
          </c:extLst>
        </c:ser>
        <c:ser>
          <c:idx val="4"/>
          <c:order val="4"/>
          <c:tx>
            <c:v>Well E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Oil_Production!$A$2:$A$7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Oil_Production!$F$2:$F$7</c:f>
              <c:numCache>
                <c:formatCode>General</c:formatCode>
                <c:ptCount val="6"/>
                <c:pt idx="0">
                  <c:v>684.56</c:v>
                </c:pt>
                <c:pt idx="1">
                  <c:v>1012.11</c:v>
                </c:pt>
                <c:pt idx="2">
                  <c:v>750.9</c:v>
                </c:pt>
                <c:pt idx="3">
                  <c:v>524.66</c:v>
                </c:pt>
                <c:pt idx="4">
                  <c:v>340.96</c:v>
                </c:pt>
                <c:pt idx="5">
                  <c:v>237.14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D45-4011-AF81-5012D19457F6}"/>
            </c:ext>
          </c:extLst>
        </c:ser>
        <c:ser>
          <c:idx val="5"/>
          <c:order val="5"/>
          <c:tx>
            <c:v>Well F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Oil_Production!$A$2:$A$7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Oil_Production!$G$2:$G$7</c:f>
              <c:numCache>
                <c:formatCode>General</c:formatCode>
                <c:ptCount val="6"/>
                <c:pt idx="0">
                  <c:v>66.31</c:v>
                </c:pt>
                <c:pt idx="1">
                  <c:v>82.86</c:v>
                </c:pt>
                <c:pt idx="2">
                  <c:v>84.08</c:v>
                </c:pt>
                <c:pt idx="3">
                  <c:v>85.26</c:v>
                </c:pt>
                <c:pt idx="4">
                  <c:v>86.44</c:v>
                </c:pt>
                <c:pt idx="5">
                  <c:v>87.63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D45-4011-AF81-5012D1945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769520"/>
        <c:axId val="558753680"/>
      </c:scatterChart>
      <c:valAx>
        <c:axId val="55876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</a:t>
                </a:r>
                <a:r>
                  <a:rPr lang="en-US" b="1" baseline="0"/>
                  <a:t> (years)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753680"/>
        <c:crosses val="autoZero"/>
        <c:crossBetween val="midCat"/>
      </c:valAx>
      <c:valAx>
        <c:axId val="55875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/>
                  <a:t>Oil production rate (STB/d)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769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3</xdr:row>
      <xdr:rowOff>63500</xdr:rowOff>
    </xdr:from>
    <xdr:to>
      <xdr:col>11</xdr:col>
      <xdr:colOff>555625</xdr:colOff>
      <xdr:row>18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17B166-B61E-8568-F04C-390EAC36C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21</xdr:row>
      <xdr:rowOff>63500</xdr:rowOff>
    </xdr:from>
    <xdr:to>
      <xdr:col>11</xdr:col>
      <xdr:colOff>339725</xdr:colOff>
      <xdr:row>36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3777DE-4A65-A54C-0C9F-C1CE93CAE8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28575</xdr:colOff>
      <xdr:row>39</xdr:row>
      <xdr:rowOff>57150</xdr:rowOff>
    </xdr:from>
    <xdr:to>
      <xdr:col>11</xdr:col>
      <xdr:colOff>339725</xdr:colOff>
      <xdr:row>54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849405B-9500-2508-8864-E417567B3E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2</xdr:row>
      <xdr:rowOff>6350</xdr:rowOff>
    </xdr:from>
    <xdr:to>
      <xdr:col>12</xdr:col>
      <xdr:colOff>314325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768EDB-5EDA-9BAA-E26D-B3E72112ED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</xdr:colOff>
      <xdr:row>18</xdr:row>
      <xdr:rowOff>19050</xdr:rowOff>
    </xdr:from>
    <xdr:to>
      <xdr:col>12</xdr:col>
      <xdr:colOff>314325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B34458-69CB-2BD0-946F-CC02F165F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606425</xdr:colOff>
      <xdr:row>35</xdr:row>
      <xdr:rowOff>0</xdr:rowOff>
    </xdr:from>
    <xdr:to>
      <xdr:col>12</xdr:col>
      <xdr:colOff>301625</xdr:colOff>
      <xdr:row>49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0EC424-6524-AEF5-847D-A02492B2C5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22225</xdr:colOff>
      <xdr:row>1</xdr:row>
      <xdr:rowOff>6350</xdr:rowOff>
    </xdr:from>
    <xdr:to>
      <xdr:col>12</xdr:col>
      <xdr:colOff>327025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6F73ED-E073-FF9D-BD84-3DEAD0EE08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15875</xdr:colOff>
      <xdr:row>17</xdr:row>
      <xdr:rowOff>25400</xdr:rowOff>
    </xdr:from>
    <xdr:to>
      <xdr:col>12</xdr:col>
      <xdr:colOff>320675</xdr:colOff>
      <xdr:row>32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264F3C-95BB-856A-417B-0907A079F9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15875</xdr:colOff>
      <xdr:row>33</xdr:row>
      <xdr:rowOff>38100</xdr:rowOff>
    </xdr:from>
    <xdr:to>
      <xdr:col>12</xdr:col>
      <xdr:colOff>320675</xdr:colOff>
      <xdr:row>48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2577CE-1880-6280-C800-027D4D8818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177800</xdr:rowOff>
    </xdr:from>
    <xdr:to>
      <xdr:col>12</xdr:col>
      <xdr:colOff>333375</xdr:colOff>
      <xdr:row>16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E7E134-2D42-296B-34B6-BB91210FE9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19</xdr:row>
      <xdr:rowOff>25400</xdr:rowOff>
    </xdr:from>
    <xdr:to>
      <xdr:col>12</xdr:col>
      <xdr:colOff>333375</xdr:colOff>
      <xdr:row>34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C76A8E-F670-EE22-B742-94A46300D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15875</xdr:colOff>
      <xdr:row>36</xdr:row>
      <xdr:rowOff>31750</xdr:rowOff>
    </xdr:from>
    <xdr:to>
      <xdr:col>12</xdr:col>
      <xdr:colOff>320675</xdr:colOff>
      <xdr:row>51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2E5CEE-5855-B5C7-DD17-3063255A1A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15875</xdr:colOff>
      <xdr:row>1</xdr:row>
      <xdr:rowOff>19050</xdr:rowOff>
    </xdr:from>
    <xdr:to>
      <xdr:col>12</xdr:col>
      <xdr:colOff>320675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ADD05B-6AEB-E3D4-DE32-F72E2AC6BC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3175</xdr:colOff>
      <xdr:row>18</xdr:row>
      <xdr:rowOff>12700</xdr:rowOff>
    </xdr:from>
    <xdr:to>
      <xdr:col>12</xdr:col>
      <xdr:colOff>307975</xdr:colOff>
      <xdr:row>32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1443D3-9368-4C3C-E79B-510919615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3175</xdr:colOff>
      <xdr:row>35</xdr:row>
      <xdr:rowOff>6350</xdr:rowOff>
    </xdr:from>
    <xdr:to>
      <xdr:col>12</xdr:col>
      <xdr:colOff>307975</xdr:colOff>
      <xdr:row>49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99ECD8-2447-7D04-033D-194E68BDEE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15875</xdr:colOff>
      <xdr:row>1</xdr:row>
      <xdr:rowOff>12700</xdr:rowOff>
    </xdr:from>
    <xdr:to>
      <xdr:col>12</xdr:col>
      <xdr:colOff>320675</xdr:colOff>
      <xdr:row>15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9D7460-5EA0-65BD-3C25-5CD9162E53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606425</xdr:colOff>
      <xdr:row>18</xdr:row>
      <xdr:rowOff>19050</xdr:rowOff>
    </xdr:from>
    <xdr:to>
      <xdr:col>12</xdr:col>
      <xdr:colOff>301625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E2B766-0CE8-3313-A00A-3DEC745DB6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9525</xdr:colOff>
      <xdr:row>35</xdr:row>
      <xdr:rowOff>25400</xdr:rowOff>
    </xdr:from>
    <xdr:to>
      <xdr:col>12</xdr:col>
      <xdr:colOff>314325</xdr:colOff>
      <xdr:row>50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9EA791-EFBC-57EF-2CBD-09A7149679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</xdr:colOff>
      <xdr:row>1</xdr:row>
      <xdr:rowOff>6350</xdr:rowOff>
    </xdr:from>
    <xdr:to>
      <xdr:col>15</xdr:col>
      <xdr:colOff>307975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BE403B-CC4B-FC13-42B0-1868E6CCE5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037CC-74CE-4587-9870-9349BE465283}">
  <dimension ref="A3:DQ62"/>
  <sheetViews>
    <sheetView tabSelected="1" topLeftCell="A36" zoomScale="70" zoomScaleNormal="70" workbookViewId="0">
      <selection activeCell="Q14" sqref="Q14"/>
    </sheetView>
  </sheetViews>
  <sheetFormatPr defaultRowHeight="14.45"/>
  <cols>
    <col min="2" max="2" width="9.28515625" bestFit="1" customWidth="1"/>
    <col min="4" max="4" width="9.28515625" style="4" bestFit="1" customWidth="1"/>
    <col min="6" max="6" width="9" style="9"/>
    <col min="8" max="8" width="9" style="10"/>
    <col min="10" max="10" width="9" style="11"/>
    <col min="12" max="12" width="9" style="12"/>
    <col min="14" max="14" width="9.28515625" style="13" bestFit="1" customWidth="1"/>
    <col min="17" max="17" width="15" bestFit="1" customWidth="1"/>
    <col min="18" max="18" width="12.140625" customWidth="1"/>
    <col min="19" max="19" width="15.7109375" customWidth="1"/>
    <col min="20" max="20" width="7.140625" customWidth="1"/>
    <col min="21" max="21" width="8.85546875" customWidth="1"/>
    <col min="22" max="22" width="20.42578125" bestFit="1" customWidth="1"/>
    <col min="23" max="23" width="16" customWidth="1"/>
    <col min="24" max="24" width="15.85546875" customWidth="1"/>
    <col min="25" max="25" width="12.42578125" bestFit="1" customWidth="1"/>
    <col min="26" max="29" width="9.28515625" bestFit="1" customWidth="1"/>
  </cols>
  <sheetData>
    <row r="3" spans="1:121">
      <c r="A3" s="8" t="s">
        <v>0</v>
      </c>
      <c r="J3" s="19" t="s">
        <v>1</v>
      </c>
      <c r="P3" s="21"/>
      <c r="Q3" s="31"/>
      <c r="R3" s="31"/>
      <c r="S3" s="31"/>
    </row>
    <row r="4" spans="1:121">
      <c r="B4" t="s">
        <v>2</v>
      </c>
      <c r="D4" s="4" t="s">
        <v>3</v>
      </c>
      <c r="F4" s="9" t="s">
        <v>4</v>
      </c>
      <c r="H4" s="10" t="s">
        <v>5</v>
      </c>
      <c r="J4" s="11" t="s">
        <v>6</v>
      </c>
      <c r="L4" s="12" t="s">
        <v>7</v>
      </c>
      <c r="N4" s="13" t="s">
        <v>8</v>
      </c>
      <c r="P4" s="20"/>
      <c r="Q4" s="23" t="s">
        <v>9</v>
      </c>
      <c r="R4" s="23" t="s">
        <v>10</v>
      </c>
      <c r="S4" s="23" t="s">
        <v>11</v>
      </c>
      <c r="V4" s="8" t="s">
        <v>0</v>
      </c>
    </row>
    <row r="5" spans="1:121">
      <c r="A5" t="s">
        <v>12</v>
      </c>
      <c r="B5">
        <v>3.0680000000000001</v>
      </c>
      <c r="D5">
        <v>3.0680000000000001</v>
      </c>
      <c r="F5">
        <v>3.0680000000000001</v>
      </c>
      <c r="H5">
        <v>3.0680000000000001</v>
      </c>
      <c r="J5">
        <v>3.0680000000000001</v>
      </c>
      <c r="L5">
        <v>3.0680000000000001</v>
      </c>
      <c r="N5">
        <v>3.0680000000000001</v>
      </c>
      <c r="P5" s="20"/>
      <c r="Q5" s="26" t="s">
        <v>13</v>
      </c>
      <c r="R5" s="23">
        <v>50</v>
      </c>
      <c r="S5" s="26" t="s">
        <v>14</v>
      </c>
      <c r="T5" s="20"/>
      <c r="U5" s="20"/>
      <c r="V5" s="23" t="s">
        <v>9</v>
      </c>
      <c r="W5" s="28" t="s">
        <v>2</v>
      </c>
      <c r="X5" s="23" t="s">
        <v>3</v>
      </c>
      <c r="Y5" s="23" t="s">
        <v>4</v>
      </c>
      <c r="Z5" s="24" t="s">
        <v>5</v>
      </c>
      <c r="AA5" s="24" t="s">
        <v>6</v>
      </c>
      <c r="AB5" s="24" t="s">
        <v>15</v>
      </c>
      <c r="AC5" s="24" t="s">
        <v>8</v>
      </c>
    </row>
    <row r="6" spans="1:121" s="2" customFormat="1">
      <c r="A6" s="2" t="s">
        <v>16</v>
      </c>
      <c r="B6" s="2">
        <v>1119.2929999999999</v>
      </c>
      <c r="C6"/>
      <c r="D6">
        <v>1176.0650000000001</v>
      </c>
      <c r="E6"/>
      <c r="F6">
        <v>1266.4010000000001</v>
      </c>
      <c r="G6"/>
      <c r="H6">
        <v>1386.729</v>
      </c>
      <c r="I6"/>
      <c r="J6">
        <v>868.52800000000002</v>
      </c>
      <c r="K6"/>
      <c r="L6">
        <v>880.82809999999995</v>
      </c>
      <c r="M6"/>
      <c r="N6">
        <v>892.42100000000005</v>
      </c>
      <c r="O6"/>
      <c r="P6" s="20"/>
      <c r="Q6" s="26" t="s">
        <v>17</v>
      </c>
      <c r="R6" s="23">
        <v>0.5</v>
      </c>
      <c r="S6" s="26" t="s">
        <v>14</v>
      </c>
      <c r="T6" s="22"/>
      <c r="U6" s="20"/>
      <c r="V6" s="23" t="s">
        <v>18</v>
      </c>
      <c r="W6" s="29">
        <f>B7*R10*R5</f>
        <v>10566416.025000002</v>
      </c>
      <c r="X6" s="25">
        <f>F7*R10*R5</f>
        <v>7860424.6499999994</v>
      </c>
      <c r="Y6" s="25">
        <f>F7*$R$10*$R$5</f>
        <v>7860424.6499999994</v>
      </c>
      <c r="Z6" s="25">
        <f>H7*$R$10*$R$5</f>
        <v>6562243.75</v>
      </c>
      <c r="AA6" s="25">
        <f>J7*$R$10*$R$5</f>
        <v>6915943.3499999996</v>
      </c>
      <c r="AB6" s="25">
        <f>L7*$R$10*$R$5</f>
        <v>6042808.5999999996</v>
      </c>
      <c r="AC6" s="25">
        <f>N7*$R$10*$R$5</f>
        <v>5261173.875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</row>
    <row r="7" spans="1:121" s="3" customFormat="1">
      <c r="A7" s="3" t="s">
        <v>19</v>
      </c>
      <c r="B7" s="3">
        <v>578.98170000000005</v>
      </c>
      <c r="C7"/>
      <c r="D7">
        <v>503.3297</v>
      </c>
      <c r="E7"/>
      <c r="F7">
        <v>430.70819999999998</v>
      </c>
      <c r="G7"/>
      <c r="H7">
        <v>359.57499999999999</v>
      </c>
      <c r="I7"/>
      <c r="J7">
        <v>378.95580000000001</v>
      </c>
      <c r="K7"/>
      <c r="L7">
        <v>331.11279999999999</v>
      </c>
      <c r="M7"/>
      <c r="N7">
        <v>288.2835</v>
      </c>
      <c r="O7"/>
      <c r="P7" s="20"/>
      <c r="Q7" s="26" t="s">
        <v>20</v>
      </c>
      <c r="R7" s="23">
        <v>0.75</v>
      </c>
      <c r="S7" s="26" t="s">
        <v>21</v>
      </c>
      <c r="T7" s="22"/>
      <c r="U7" s="20"/>
      <c r="V7" s="23" t="s">
        <v>22</v>
      </c>
      <c r="W7" s="29">
        <f>(B7*(B10/100)/(1-(B10/100)))*R10*R6</f>
        <v>14408.749125</v>
      </c>
      <c r="X7" s="25">
        <f>(D7*(D10/100)/(1-(D10/100)))*R10*R6</f>
        <v>15452.692191588787</v>
      </c>
      <c r="Y7" s="25">
        <f>(F7*(F10/100)/(1-(F10/100)))*$R$10*$R$6</f>
        <v>16420.229442940035</v>
      </c>
      <c r="Z7" s="25">
        <f>(H7*(H10/100)/(1-(H10/100)))*$R$10*$R$6</f>
        <v>17167.274727492932</v>
      </c>
      <c r="AA7" s="25">
        <f>(J7*(J10/100)/(1-(J10/100)))*$R$10*$R$6</f>
        <v>22909.762072761347</v>
      </c>
      <c r="AB7" s="25">
        <f>(L7*(L10/100)/(1-(L10/100)))*$R$10*$R$6</f>
        <v>25725.247553844179</v>
      </c>
      <c r="AC7" s="25">
        <f>(N7*(N10/100)/(1-(N10/100)))*$R$10*$R$6</f>
        <v>29378.632351619926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</row>
    <row r="8" spans="1:121" s="1" customFormat="1">
      <c r="A8" s="1" t="s">
        <v>23</v>
      </c>
      <c r="B8" s="1">
        <f>B7*365</f>
        <v>211328.32050000003</v>
      </c>
      <c r="D8" s="1">
        <f t="shared" ref="D8:N8" si="0">D7*365</f>
        <v>183715.34049999999</v>
      </c>
      <c r="F8" s="1">
        <f t="shared" ref="F8" si="1">F7*365</f>
        <v>157208.49299999999</v>
      </c>
      <c r="H8" s="1">
        <f>H7*365</f>
        <v>131244.875</v>
      </c>
      <c r="J8" s="1">
        <f>J7*365</f>
        <v>138318.867</v>
      </c>
      <c r="L8" s="1">
        <f t="shared" si="0"/>
        <v>120856.17199999999</v>
      </c>
      <c r="N8" s="1">
        <f t="shared" si="0"/>
        <v>105223.47750000001</v>
      </c>
      <c r="O8"/>
      <c r="P8" s="20"/>
      <c r="Q8" s="26" t="s">
        <v>24</v>
      </c>
      <c r="R8" s="23">
        <v>0.3</v>
      </c>
      <c r="S8" s="26" t="s">
        <v>21</v>
      </c>
      <c r="T8" s="22"/>
      <c r="U8" s="20"/>
      <c r="V8" s="23" t="s">
        <v>25</v>
      </c>
      <c r="W8" s="30">
        <v>0</v>
      </c>
      <c r="X8" s="26">
        <v>0</v>
      </c>
      <c r="Y8" s="26">
        <v>0</v>
      </c>
      <c r="Z8" s="27">
        <v>0</v>
      </c>
      <c r="AA8" s="27">
        <f xml:space="preserve"> 2500 * $R$9 * $R$10</f>
        <v>1368750</v>
      </c>
      <c r="AB8" s="27">
        <f xml:space="preserve"> 2500 * $R$9 * $R$10</f>
        <v>1368750</v>
      </c>
      <c r="AC8" s="27">
        <f xml:space="preserve"> 2500 * $R$9 * $R$10</f>
        <v>1368750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</row>
    <row r="9" spans="1:121" s="5" customFormat="1">
      <c r="A9" s="5" t="s">
        <v>26</v>
      </c>
      <c r="B9" s="5">
        <v>4200</v>
      </c>
      <c r="C9"/>
      <c r="D9" s="5">
        <f>B9-(0.002*((B7*365)))</f>
        <v>3777.343359</v>
      </c>
      <c r="F9" s="5">
        <f>B9-(0.002*((D7*365)+B8))</f>
        <v>3409.9126779999997</v>
      </c>
      <c r="H9" s="5">
        <f>B9-(0.002*((F7*365)+D8+B8))</f>
        <v>3095.495692</v>
      </c>
      <c r="J9" s="5">
        <f>B9-(0.002*((H7*365)+F8+D8+B8))</f>
        <v>2833.0059419999998</v>
      </c>
      <c r="L9" s="5">
        <f>B9-(0.002*((J7*365)+H8+F8+D8+B8))</f>
        <v>2556.3682079999999</v>
      </c>
      <c r="N9" s="5">
        <f>B9-(0.002*((L7*365)+B8+D8+F8+H8+J8))</f>
        <v>2314.6558640000003</v>
      </c>
      <c r="O9"/>
      <c r="P9" s="20"/>
      <c r="Q9" s="26" t="s">
        <v>27</v>
      </c>
      <c r="R9" s="23">
        <v>1.5</v>
      </c>
      <c r="S9" s="26" t="s">
        <v>28</v>
      </c>
      <c r="T9" s="22"/>
      <c r="U9" s="20"/>
      <c r="V9" s="23" t="s">
        <v>29</v>
      </c>
      <c r="W9" s="29">
        <f t="shared" ref="W9:AC9" si="2">W8+W7</f>
        <v>14408.749125</v>
      </c>
      <c r="X9" s="25">
        <f t="shared" si="2"/>
        <v>15452.692191588787</v>
      </c>
      <c r="Y9" s="25">
        <f t="shared" si="2"/>
        <v>16420.229442940035</v>
      </c>
      <c r="Z9" s="25">
        <f t="shared" si="2"/>
        <v>17167.274727492932</v>
      </c>
      <c r="AA9" s="25">
        <f t="shared" si="2"/>
        <v>1391659.7620727613</v>
      </c>
      <c r="AB9" s="25">
        <f t="shared" si="2"/>
        <v>1394475.2475538442</v>
      </c>
      <c r="AC9" s="25">
        <f t="shared" si="2"/>
        <v>1398128.6323516199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</row>
    <row r="10" spans="1:121">
      <c r="A10" t="s">
        <v>30</v>
      </c>
      <c r="B10">
        <v>12</v>
      </c>
      <c r="D10" s="4">
        <f>B10*1.2</f>
        <v>14.399999999999999</v>
      </c>
      <c r="E10" s="4"/>
      <c r="F10" s="4">
        <f t="shared" ref="F10:N10" si="3">D10*1.2</f>
        <v>17.279999999999998</v>
      </c>
      <c r="G10" s="4"/>
      <c r="H10" s="4">
        <f t="shared" si="3"/>
        <v>20.735999999999997</v>
      </c>
      <c r="I10" s="4"/>
      <c r="J10" s="4">
        <f>H10*1.2</f>
        <v>24.883199999999995</v>
      </c>
      <c r="K10" s="4"/>
      <c r="L10" s="4">
        <f t="shared" si="3"/>
        <v>29.859839999999991</v>
      </c>
      <c r="M10" s="4"/>
      <c r="N10" s="4">
        <f t="shared" si="3"/>
        <v>35.831807999999988</v>
      </c>
      <c r="P10" s="20"/>
      <c r="Q10" s="26" t="s">
        <v>31</v>
      </c>
      <c r="R10" s="23">
        <v>365</v>
      </c>
      <c r="S10" s="26" t="s">
        <v>32</v>
      </c>
      <c r="U10" s="20"/>
      <c r="V10" s="23" t="s">
        <v>33</v>
      </c>
      <c r="W10" s="29">
        <f t="shared" ref="W10:AC10" si="4">W6-W9</f>
        <v>10552007.275875002</v>
      </c>
      <c r="X10" s="25">
        <f t="shared" si="4"/>
        <v>7844971.9578084107</v>
      </c>
      <c r="Y10" s="25">
        <f t="shared" si="4"/>
        <v>7844004.4205570593</v>
      </c>
      <c r="Z10" s="25">
        <f t="shared" si="4"/>
        <v>6545076.4752725074</v>
      </c>
      <c r="AA10" s="25">
        <f t="shared" si="4"/>
        <v>5524283.5879272381</v>
      </c>
      <c r="AB10" s="25">
        <f t="shared" si="4"/>
        <v>4648333.3524461556</v>
      </c>
      <c r="AC10" s="25">
        <f t="shared" si="4"/>
        <v>3863045.2426483799</v>
      </c>
    </row>
    <row r="11" spans="1:121">
      <c r="A11" t="s">
        <v>34</v>
      </c>
      <c r="B11">
        <v>1800</v>
      </c>
      <c r="D11" s="4">
        <f>0.9*B11</f>
        <v>1620</v>
      </c>
      <c r="E11" s="4"/>
      <c r="F11" s="4">
        <f t="shared" ref="F11:N11" si="5">0.9*D11</f>
        <v>1458</v>
      </c>
      <c r="G11" s="4"/>
      <c r="H11" s="4">
        <f t="shared" si="5"/>
        <v>1312.2</v>
      </c>
      <c r="I11" s="4"/>
      <c r="J11" s="4">
        <f t="shared" si="5"/>
        <v>1180.98</v>
      </c>
      <c r="K11" s="4"/>
      <c r="L11" s="4">
        <f t="shared" si="5"/>
        <v>1062.8820000000001</v>
      </c>
      <c r="M11" s="4"/>
      <c r="N11" s="4">
        <f t="shared" si="5"/>
        <v>956.5938000000001</v>
      </c>
      <c r="Q11" s="20"/>
      <c r="R11" s="20"/>
      <c r="S11" s="20"/>
      <c r="T11" s="20"/>
      <c r="U11" s="20"/>
      <c r="V11" s="20"/>
    </row>
    <row r="12" spans="1:121">
      <c r="Q12" s="20"/>
      <c r="R12" s="20"/>
      <c r="S12" s="21"/>
      <c r="T12" s="21"/>
      <c r="U12" s="21"/>
      <c r="V12" s="21"/>
    </row>
    <row r="13" spans="1:121">
      <c r="A13" s="8" t="s">
        <v>35</v>
      </c>
      <c r="F13" s="9" t="s">
        <v>36</v>
      </c>
      <c r="Q13" s="20"/>
      <c r="R13" s="20"/>
      <c r="S13" s="21"/>
      <c r="T13" s="21"/>
      <c r="U13" s="21"/>
      <c r="V13" s="21"/>
    </row>
    <row r="14" spans="1:121">
      <c r="B14" t="s">
        <v>2</v>
      </c>
      <c r="D14" s="4" t="s">
        <v>3</v>
      </c>
      <c r="F14" s="9" t="s">
        <v>4</v>
      </c>
      <c r="H14" s="10" t="s">
        <v>5</v>
      </c>
      <c r="J14" s="11" t="s">
        <v>6</v>
      </c>
      <c r="L14" s="12" t="s">
        <v>7</v>
      </c>
      <c r="N14" s="13" t="s">
        <v>8</v>
      </c>
      <c r="Q14" s="20"/>
      <c r="R14" s="20"/>
      <c r="S14" s="21"/>
      <c r="T14" s="21"/>
      <c r="U14" s="21"/>
      <c r="V14" s="8" t="s">
        <v>35</v>
      </c>
    </row>
    <row r="15" spans="1:121">
      <c r="A15" t="s">
        <v>12</v>
      </c>
      <c r="B15">
        <v>3.0680000000000001</v>
      </c>
      <c r="D15">
        <v>3.0680000000000001</v>
      </c>
      <c r="F15">
        <v>3.0680000000000001</v>
      </c>
      <c r="H15">
        <v>3.0680000000000001</v>
      </c>
      <c r="J15">
        <v>3.0680000000000001</v>
      </c>
      <c r="L15">
        <v>3.0680000000000001</v>
      </c>
      <c r="N15">
        <v>3.0680000000000001</v>
      </c>
      <c r="Q15" s="20"/>
      <c r="R15" s="20"/>
      <c r="S15" s="21"/>
      <c r="T15" s="21"/>
      <c r="U15" s="21"/>
      <c r="V15" s="23" t="s">
        <v>9</v>
      </c>
      <c r="W15" s="28" t="s">
        <v>2</v>
      </c>
      <c r="X15" s="23" t="s">
        <v>3</v>
      </c>
      <c r="Y15" s="23" t="s">
        <v>4</v>
      </c>
      <c r="Z15" s="24" t="s">
        <v>5</v>
      </c>
      <c r="AA15" s="24" t="s">
        <v>6</v>
      </c>
      <c r="AB15" s="24" t="s">
        <v>15</v>
      </c>
      <c r="AC15" s="24" t="s">
        <v>8</v>
      </c>
    </row>
    <row r="16" spans="1:121" s="2" customFormat="1">
      <c r="A16" s="2" t="s">
        <v>16</v>
      </c>
      <c r="B16" s="2">
        <v>1190.402</v>
      </c>
      <c r="C16"/>
      <c r="D16">
        <v>1225.6669999999999</v>
      </c>
      <c r="E16"/>
      <c r="F16">
        <v>890.93780000000004</v>
      </c>
      <c r="G16"/>
      <c r="H16">
        <v>856.34249999999997</v>
      </c>
      <c r="I16"/>
      <c r="J16">
        <v>846.15390000000002</v>
      </c>
      <c r="K16"/>
      <c r="L16">
        <v>802.52359999999999</v>
      </c>
      <c r="M16"/>
      <c r="N16">
        <v>744.75289999999995</v>
      </c>
      <c r="O16"/>
      <c r="P16"/>
      <c r="Q16" s="20"/>
      <c r="R16" s="20"/>
      <c r="S16" s="21"/>
      <c r="T16" s="21"/>
      <c r="U16" s="21"/>
      <c r="V16" s="23" t="s">
        <v>18</v>
      </c>
      <c r="W16" s="29">
        <f>B17*$R$10*$R$5</f>
        <v>20080693.999999996</v>
      </c>
      <c r="X16" s="29">
        <f>D17*$R$10*$R$5</f>
        <v>13984297.925000001</v>
      </c>
      <c r="Y16" s="25">
        <f>F17*$R$10*$R$5</f>
        <v>11700337.800000001</v>
      </c>
      <c r="Z16" s="25">
        <f>H17*$R$10*$R$5</f>
        <v>8347073.6749999998</v>
      </c>
      <c r="AA16" s="25">
        <f>J17*$R$10*$R$5</f>
        <v>5715469.2999999998</v>
      </c>
      <c r="AB16" s="25">
        <f>L17*$R$10*$R$5</f>
        <v>4082592.5249999999</v>
      </c>
      <c r="AC16" s="25">
        <f>N17*$R$10*$R$5</f>
        <v>3093885.9999999995</v>
      </c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</row>
    <row r="17" spans="1:121" s="3" customFormat="1">
      <c r="A17" s="3" t="s">
        <v>19</v>
      </c>
      <c r="B17" s="16">
        <v>1100.3119999999999</v>
      </c>
      <c r="C17"/>
      <c r="D17">
        <v>766.26289999999995</v>
      </c>
      <c r="E17"/>
      <c r="F17">
        <v>641.11440000000005</v>
      </c>
      <c r="G17"/>
      <c r="H17">
        <v>457.37389999999999</v>
      </c>
      <c r="I17"/>
      <c r="J17">
        <v>313.1764</v>
      </c>
      <c r="K17"/>
      <c r="L17">
        <v>223.7037</v>
      </c>
      <c r="M17"/>
      <c r="N17">
        <v>169.52799999999999</v>
      </c>
      <c r="O17"/>
      <c r="P17"/>
      <c r="Q17"/>
      <c r="R17"/>
      <c r="S17"/>
      <c r="T17"/>
      <c r="U17"/>
      <c r="V17" s="23" t="s">
        <v>22</v>
      </c>
      <c r="W17" s="29">
        <f>(B17*(B20/100)/(1-(B20/100)))*$R$10*$R$6</f>
        <v>35436.518823529412</v>
      </c>
      <c r="X17" s="25">
        <f>(D17*(D20/100)/(1-(D20/100)))*$R$10*$R$6</f>
        <v>30697.239347560972</v>
      </c>
      <c r="Y17" s="25">
        <f>(F17*(F20/100)/(1-(F20/100)))*$R$10*$R$6</f>
        <v>32235.624551020403</v>
      </c>
      <c r="Z17" s="25">
        <f>(H17*(H20/100)/(1-(H20/100)))*$R$10*$R$6</f>
        <v>29205.743744060474</v>
      </c>
      <c r="AA17" s="25">
        <f>(J17*(J20/100)/(1-(J20/100)))*$R$10*$R$6</f>
        <v>25803.23343985137</v>
      </c>
      <c r="AB17" s="25">
        <f>(L17*(L20/100)/(1-(L20/100)))*$R$10*$R$6</f>
        <v>24312.957832941898</v>
      </c>
      <c r="AC17" s="25">
        <f>(N17*(N20/100)/(1-(N20/100)))*$R$10*$R$6</f>
        <v>25099.403916259005</v>
      </c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</row>
    <row r="18" spans="1:121" s="1" customFormat="1">
      <c r="A18" s="1" t="s">
        <v>23</v>
      </c>
      <c r="B18" s="1">
        <f>B17*365</f>
        <v>401613.87999999995</v>
      </c>
      <c r="C18"/>
      <c r="D18" s="1">
        <f>D17*365</f>
        <v>279685.95850000001</v>
      </c>
      <c r="F18" s="1">
        <f t="shared" ref="F18:N18" si="6">F17*365</f>
        <v>234006.75600000002</v>
      </c>
      <c r="H18" s="1">
        <f t="shared" si="6"/>
        <v>166941.47349999999</v>
      </c>
      <c r="J18" s="1">
        <f t="shared" si="6"/>
        <v>114309.386</v>
      </c>
      <c r="L18" s="1">
        <f>L16*365</f>
        <v>292921.114</v>
      </c>
      <c r="N18" s="1">
        <f t="shared" si="6"/>
        <v>61877.719999999994</v>
      </c>
      <c r="O18"/>
      <c r="P18"/>
      <c r="Q18"/>
      <c r="R18"/>
      <c r="S18"/>
      <c r="T18"/>
      <c r="U18"/>
      <c r="V18" s="23" t="s">
        <v>25</v>
      </c>
      <c r="W18" s="30">
        <v>0</v>
      </c>
      <c r="X18" s="26">
        <v>0</v>
      </c>
      <c r="Y18" s="26">
        <v>0</v>
      </c>
      <c r="Z18" s="27">
        <v>0</v>
      </c>
      <c r="AA18" s="27">
        <f xml:space="preserve"> 1000 * $R$9 * $R$10</f>
        <v>547500</v>
      </c>
      <c r="AB18" s="27">
        <f xml:space="preserve"> 1000 * $R$9 * $R$10</f>
        <v>547500</v>
      </c>
      <c r="AC18" s="27">
        <f xml:space="preserve"> 1000 * $R$9 * $R$10</f>
        <v>547500</v>
      </c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</row>
    <row r="19" spans="1:121" s="6" customFormat="1">
      <c r="A19" s="6" t="s">
        <v>26</v>
      </c>
      <c r="B19" s="6">
        <v>3600</v>
      </c>
      <c r="C19"/>
      <c r="D19" s="6">
        <f>B19-(0.002*(B17*365))</f>
        <v>2796.7722400000002</v>
      </c>
      <c r="F19" s="6">
        <f>B19-(0.002*((D17*365)+B18))</f>
        <v>2237.4003229999998</v>
      </c>
      <c r="H19" s="6">
        <f>B19-(0.002*((F17*365)+B18+D18))</f>
        <v>1769.3868110000001</v>
      </c>
      <c r="J19" s="6">
        <f>B19-(0.002*((H17*365)+B18+D18+F18))</f>
        <v>1435.5038639999998</v>
      </c>
      <c r="L19" s="6">
        <f>B19-(0.002*((J17*365)+B18+D18+F18+H18))</f>
        <v>1206.8850919999995</v>
      </c>
      <c r="N19" s="6">
        <f>B19-(0.002*((L17*365)+B18+D18+F18+H18+J18))</f>
        <v>1043.5813909999997</v>
      </c>
      <c r="O19"/>
      <c r="P19"/>
      <c r="Q19"/>
      <c r="R19"/>
      <c r="S19"/>
      <c r="T19"/>
      <c r="U19"/>
      <c r="V19" s="23" t="s">
        <v>29</v>
      </c>
      <c r="W19" s="29">
        <f t="shared" ref="W19:AC19" si="7">W18+W17</f>
        <v>35436.518823529412</v>
      </c>
      <c r="X19" s="25">
        <f t="shared" si="7"/>
        <v>30697.239347560972</v>
      </c>
      <c r="Y19" s="25">
        <f t="shared" si="7"/>
        <v>32235.624551020403</v>
      </c>
      <c r="Z19" s="25">
        <f t="shared" si="7"/>
        <v>29205.743744060474</v>
      </c>
      <c r="AA19" s="25">
        <f t="shared" si="7"/>
        <v>573303.23343985132</v>
      </c>
      <c r="AB19" s="25">
        <f t="shared" si="7"/>
        <v>571812.9578329419</v>
      </c>
      <c r="AC19" s="25">
        <f t="shared" si="7"/>
        <v>572599.40391625906</v>
      </c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</row>
    <row r="20" spans="1:121">
      <c r="A20" t="s">
        <v>30</v>
      </c>
      <c r="B20">
        <v>15</v>
      </c>
      <c r="D20" s="4">
        <f>B20*1.2</f>
        <v>18</v>
      </c>
      <c r="E20" s="4"/>
      <c r="F20" s="4">
        <f t="shared" ref="F20:N20" si="8">D20*1.2</f>
        <v>21.599999999999998</v>
      </c>
      <c r="G20" s="4"/>
      <c r="H20" s="4">
        <f t="shared" si="8"/>
        <v>25.919999999999998</v>
      </c>
      <c r="I20" s="4"/>
      <c r="J20" s="4">
        <f t="shared" si="8"/>
        <v>31.103999999999996</v>
      </c>
      <c r="K20" s="4"/>
      <c r="L20" s="4">
        <f t="shared" si="8"/>
        <v>37.324799999999996</v>
      </c>
      <c r="M20" s="4"/>
      <c r="N20" s="4">
        <f t="shared" si="8"/>
        <v>44.789759999999994</v>
      </c>
      <c r="V20" s="23" t="s">
        <v>33</v>
      </c>
      <c r="W20" s="29">
        <f t="shared" ref="W20:AC20" si="9">W16-W19</f>
        <v>20045257.481176466</v>
      </c>
      <c r="X20" s="25">
        <f t="shared" si="9"/>
        <v>13953600.68565244</v>
      </c>
      <c r="Y20" s="25">
        <f t="shared" si="9"/>
        <v>11668102.17544898</v>
      </c>
      <c r="Z20" s="25">
        <f t="shared" si="9"/>
        <v>8317867.9312559394</v>
      </c>
      <c r="AA20" s="25">
        <f t="shared" si="9"/>
        <v>5142166.0665601483</v>
      </c>
      <c r="AB20" s="25">
        <f t="shared" si="9"/>
        <v>3510779.5671670581</v>
      </c>
      <c r="AC20" s="25">
        <f t="shared" si="9"/>
        <v>2521286.5960837407</v>
      </c>
    </row>
    <row r="21" spans="1:121">
      <c r="A21" t="s">
        <v>34</v>
      </c>
      <c r="B21">
        <v>1520</v>
      </c>
      <c r="D21" s="4">
        <f>0.9*B21</f>
        <v>1368</v>
      </c>
      <c r="E21" s="4"/>
      <c r="F21" s="4">
        <f t="shared" ref="F21:N21" si="10">0.9*D21</f>
        <v>1231.2</v>
      </c>
      <c r="G21" s="4"/>
      <c r="H21" s="4">
        <f t="shared" si="10"/>
        <v>1108.0800000000002</v>
      </c>
      <c r="I21" s="4"/>
      <c r="J21" s="4">
        <f t="shared" si="10"/>
        <v>997.27200000000016</v>
      </c>
      <c r="K21" s="4"/>
      <c r="L21" s="4">
        <f t="shared" si="10"/>
        <v>897.54480000000012</v>
      </c>
      <c r="M21" s="4"/>
      <c r="N21" s="4">
        <f t="shared" si="10"/>
        <v>807.79032000000018</v>
      </c>
      <c r="O21" s="4"/>
    </row>
    <row r="23" spans="1:121">
      <c r="A23" s="8" t="s">
        <v>37</v>
      </c>
      <c r="D23" s="4" t="s">
        <v>38</v>
      </c>
    </row>
    <row r="24" spans="1:121">
      <c r="B24" t="s">
        <v>2</v>
      </c>
      <c r="D24" s="4" t="s">
        <v>3</v>
      </c>
      <c r="F24" s="9" t="s">
        <v>4</v>
      </c>
      <c r="H24" s="10" t="s">
        <v>5</v>
      </c>
      <c r="J24" s="11" t="s">
        <v>6</v>
      </c>
      <c r="L24" s="12" t="s">
        <v>7</v>
      </c>
      <c r="N24" s="13" t="s">
        <v>8</v>
      </c>
      <c r="V24" s="8" t="s">
        <v>37</v>
      </c>
    </row>
    <row r="25" spans="1:121">
      <c r="A25" t="s">
        <v>12</v>
      </c>
      <c r="B25">
        <v>3.0680000000000001</v>
      </c>
      <c r="D25">
        <v>3.0680000000000001</v>
      </c>
      <c r="F25">
        <v>3.0680000000000001</v>
      </c>
      <c r="H25">
        <v>3.0680000000000001</v>
      </c>
      <c r="J25">
        <v>3.0680000000000001</v>
      </c>
      <c r="L25">
        <v>3.0680000000000001</v>
      </c>
      <c r="V25" s="23" t="s">
        <v>9</v>
      </c>
      <c r="W25" s="28" t="s">
        <v>2</v>
      </c>
      <c r="X25" s="23" t="s">
        <v>3</v>
      </c>
      <c r="Y25" s="23" t="s">
        <v>4</v>
      </c>
      <c r="Z25" s="24" t="s">
        <v>5</v>
      </c>
      <c r="AA25" s="24" t="s">
        <v>6</v>
      </c>
      <c r="AB25" s="24" t="s">
        <v>15</v>
      </c>
      <c r="AC25" s="24" t="s">
        <v>8</v>
      </c>
    </row>
    <row r="26" spans="1:121" s="2" customFormat="1">
      <c r="A26" s="2" t="s">
        <v>16</v>
      </c>
      <c r="B26">
        <v>2677.11</v>
      </c>
      <c r="C26"/>
      <c r="D26">
        <v>887.06659999999999</v>
      </c>
      <c r="E26"/>
      <c r="F26">
        <v>764.43010000000004</v>
      </c>
      <c r="G26"/>
      <c r="H26">
        <v>902.77980000000002</v>
      </c>
      <c r="I26"/>
      <c r="J26">
        <v>1059.175</v>
      </c>
      <c r="K26"/>
      <c r="L26">
        <v>1047.0840000000001</v>
      </c>
      <c r="M26"/>
      <c r="N26">
        <v>996.83500000000004</v>
      </c>
      <c r="O26"/>
      <c r="P26"/>
      <c r="Q26"/>
      <c r="R26"/>
      <c r="S26"/>
      <c r="T26"/>
      <c r="U26"/>
      <c r="V26" s="23" t="s">
        <v>18</v>
      </c>
      <c r="W26" s="29">
        <f>B27*$R$10*$R$5</f>
        <v>31413414.749999996</v>
      </c>
      <c r="X26" s="29">
        <f>D27*$R$10*$R$5</f>
        <v>29434859.249999996</v>
      </c>
      <c r="Y26" s="25">
        <f>F27*$R$10*$R$5</f>
        <v>17616971.375</v>
      </c>
      <c r="Z26" s="25">
        <f>H27*$R$10*$R$5</f>
        <v>11276702.375</v>
      </c>
      <c r="AA26" s="25">
        <f>J27*$R$10*$R$5</f>
        <v>6062535.0249999994</v>
      </c>
      <c r="AB26" s="25">
        <f>L27*$R$10*$R$5</f>
        <v>3727272.3250000002</v>
      </c>
      <c r="AC26" s="25">
        <f>N27*$R$10*$R$5</f>
        <v>2645521.8250000002</v>
      </c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</row>
    <row r="27" spans="1:121" s="3" customFormat="1">
      <c r="A27" s="3" t="s">
        <v>19</v>
      </c>
      <c r="B27">
        <v>1721.2829999999999</v>
      </c>
      <c r="C27"/>
      <c r="D27">
        <v>1612.8689999999999</v>
      </c>
      <c r="E27"/>
      <c r="F27">
        <v>965.31349999999998</v>
      </c>
      <c r="G27"/>
      <c r="H27">
        <v>617.90150000000006</v>
      </c>
      <c r="I27"/>
      <c r="J27">
        <v>332.19369999999998</v>
      </c>
      <c r="K27"/>
      <c r="L27">
        <v>204.23410000000001</v>
      </c>
      <c r="M27"/>
      <c r="N27">
        <v>144.96010000000001</v>
      </c>
      <c r="O27"/>
      <c r="P27"/>
      <c r="Q27"/>
      <c r="R27"/>
      <c r="S27"/>
      <c r="T27"/>
      <c r="U27"/>
      <c r="V27" s="23" t="s">
        <v>22</v>
      </c>
      <c r="W27" s="29">
        <f>(B27*(B30/100)/(1-(B30/100)))*$R$10*$R$6</f>
        <v>169149.15634615382</v>
      </c>
      <c r="X27" s="25">
        <f>(D27*(D30/100)/(1-(D30/100)))*$R$10*$R$6</f>
        <v>213148.98077586203</v>
      </c>
      <c r="Y27" s="25">
        <f>(F27*(F30/100)/(1-(F30/100)))*$R$10*$R$6</f>
        <v>179011.16074596776</v>
      </c>
      <c r="Z27" s="25">
        <f>(H27*(H30/100)/(1-(H30/100)))*$R$10*$R$6</f>
        <v>172574.63553643724</v>
      </c>
      <c r="AA27" s="25">
        <f>(J27*(J30/100)/(1-(J30/100)))*$R$10*$R$6</f>
        <v>160441.41699766624</v>
      </c>
      <c r="AB27" s="25">
        <f>(L27*(L30/100)/(1-(L30/100)))*$R$10*$R$6</f>
        <v>251466.14674566171</v>
      </c>
      <c r="AC27" s="25" t="e">
        <f>(N27*(N30/100)/(1-(N30/100)))*$R$10*$R$6</f>
        <v>#DIV/0!</v>
      </c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</row>
    <row r="28" spans="1:121" s="1" customFormat="1">
      <c r="A28" s="1" t="s">
        <v>23</v>
      </c>
      <c r="B28" s="1">
        <f>B27*365</f>
        <v>628268.29499999993</v>
      </c>
      <c r="C28"/>
      <c r="D28" s="1">
        <f>D27*365</f>
        <v>588697.18499999994</v>
      </c>
      <c r="F28" s="1">
        <f t="shared" ref="F28:N28" si="11">F27*365</f>
        <v>352339.42749999999</v>
      </c>
      <c r="H28" s="1">
        <f t="shared" si="11"/>
        <v>225534.04750000002</v>
      </c>
      <c r="J28" s="1">
        <f t="shared" si="11"/>
        <v>121250.70049999999</v>
      </c>
      <c r="L28" s="1">
        <f t="shared" si="11"/>
        <v>74545.446500000005</v>
      </c>
      <c r="N28" s="1">
        <f t="shared" si="11"/>
        <v>52910.436500000003</v>
      </c>
      <c r="O28"/>
      <c r="P28"/>
      <c r="Q28"/>
      <c r="R28"/>
      <c r="S28"/>
      <c r="T28"/>
      <c r="U28"/>
      <c r="V28" s="23" t="s">
        <v>25</v>
      </c>
      <c r="W28" s="30">
        <v>0</v>
      </c>
      <c r="X28" s="26">
        <f xml:space="preserve"> ( D27/ (1 - (D30/100)) ) * $R$10 * $R$7</f>
        <v>761246.35991379293</v>
      </c>
      <c r="Y28" s="26">
        <f xml:space="preserve"> ( F27/ (1 - (F30/100)) ) * $R$10 * $R$7</f>
        <v>532771.31174395164</v>
      </c>
      <c r="Z28" s="26">
        <f xml:space="preserve"> ( H27/ (1 - (H30/100)) ) * $R$10 * $R$7</f>
        <v>428012.48892965587</v>
      </c>
      <c r="AA28" s="26">
        <f xml:space="preserve"> ( J27/ (1 - (J30/100)) ) * $R$10 * $R$7</f>
        <v>331600.15087149938</v>
      </c>
      <c r="AB28" s="26">
        <f xml:space="preserve"> ( L27/ (1 - (L30/100)) ) * $R$10 * $R$7</f>
        <v>433108.30499349249</v>
      </c>
      <c r="AC28" s="26" t="e">
        <f xml:space="preserve"> ( N27/ (1 - (N30/100)) ) * $R$10 * $R$7</f>
        <v>#DIV/0!</v>
      </c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</row>
    <row r="29" spans="1:121" s="6" customFormat="1">
      <c r="A29" s="6" t="s">
        <v>26</v>
      </c>
      <c r="B29" s="6">
        <v>5200</v>
      </c>
      <c r="C29"/>
      <c r="D29" s="6">
        <f>B29-(0.002*(B27*365))</f>
        <v>3943.4634100000003</v>
      </c>
      <c r="F29" s="6">
        <f>D29-(0.002*(D27*365))</f>
        <v>2766.0690400000003</v>
      </c>
      <c r="H29" s="6">
        <f t="shared" ref="H29:N29" si="12">F29-(0.002*(F27*365))</f>
        <v>2061.3901850000002</v>
      </c>
      <c r="J29" s="6">
        <f t="shared" si="12"/>
        <v>1610.3220900000001</v>
      </c>
      <c r="L29" s="6">
        <f t="shared" si="12"/>
        <v>1367.8206890000001</v>
      </c>
      <c r="N29" s="6">
        <f t="shared" si="12"/>
        <v>1218.7297960000001</v>
      </c>
      <c r="O29"/>
      <c r="P29"/>
      <c r="Q29"/>
      <c r="R29"/>
      <c r="S29"/>
      <c r="T29"/>
      <c r="U29"/>
      <c r="V29" s="23" t="s">
        <v>29</v>
      </c>
      <c r="W29" s="29">
        <f t="shared" ref="W29:AC29" si="13">W28+W27</f>
        <v>169149.15634615382</v>
      </c>
      <c r="X29" s="25">
        <f t="shared" si="13"/>
        <v>974395.34068965493</v>
      </c>
      <c r="Y29" s="25">
        <f t="shared" si="13"/>
        <v>711782.4724899194</v>
      </c>
      <c r="Z29" s="25">
        <f t="shared" si="13"/>
        <v>600587.12446609314</v>
      </c>
      <c r="AA29" s="25">
        <f t="shared" si="13"/>
        <v>492041.56786916562</v>
      </c>
      <c r="AB29" s="25">
        <f t="shared" si="13"/>
        <v>684574.45173915417</v>
      </c>
      <c r="AC29" s="25" t="e">
        <f t="shared" si="13"/>
        <v>#DIV/0!</v>
      </c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</row>
    <row r="30" spans="1:121">
      <c r="A30" t="s">
        <v>30</v>
      </c>
      <c r="B30">
        <v>35</v>
      </c>
      <c r="D30" s="4">
        <f>B30*1.2</f>
        <v>42</v>
      </c>
      <c r="E30" s="4"/>
      <c r="F30" s="4">
        <f t="shared" ref="F30:L30" si="14">D30*1.2</f>
        <v>50.4</v>
      </c>
      <c r="G30" s="4"/>
      <c r="H30" s="4">
        <f t="shared" si="14"/>
        <v>60.48</v>
      </c>
      <c r="I30" s="4"/>
      <c r="J30" s="4">
        <f t="shared" si="14"/>
        <v>72.575999999999993</v>
      </c>
      <c r="K30" s="4"/>
      <c r="L30" s="4">
        <f t="shared" si="14"/>
        <v>87.091199999999986</v>
      </c>
      <c r="M30" s="4"/>
      <c r="N30" s="4">
        <v>100</v>
      </c>
      <c r="V30" s="23" t="s">
        <v>33</v>
      </c>
      <c r="W30" s="29">
        <f t="shared" ref="W30:AC30" si="15">W26-W29</f>
        <v>31244265.593653843</v>
      </c>
      <c r="X30" s="25">
        <f t="shared" si="15"/>
        <v>28460463.909310341</v>
      </c>
      <c r="Y30" s="25">
        <f t="shared" si="15"/>
        <v>16905188.90251008</v>
      </c>
      <c r="Z30" s="25">
        <f t="shared" si="15"/>
        <v>10676115.250533907</v>
      </c>
      <c r="AA30" s="25">
        <f t="shared" si="15"/>
        <v>5570493.4571308335</v>
      </c>
      <c r="AB30" s="25">
        <f t="shared" si="15"/>
        <v>3042697.8732608459</v>
      </c>
      <c r="AC30" s="25" t="e">
        <f t="shared" si="15"/>
        <v>#DIV/0!</v>
      </c>
    </row>
    <row r="31" spans="1:121">
      <c r="A31" t="s">
        <v>34</v>
      </c>
      <c r="B31">
        <v>800</v>
      </c>
      <c r="D31" s="4">
        <f>0.9*B31</f>
        <v>720</v>
      </c>
      <c r="E31" s="4"/>
      <c r="F31" s="4">
        <f t="shared" ref="F31:L31" si="16">0.9*D31</f>
        <v>648</v>
      </c>
      <c r="G31" s="4"/>
      <c r="H31" s="4">
        <f t="shared" si="16"/>
        <v>583.20000000000005</v>
      </c>
      <c r="I31" s="4"/>
      <c r="J31" s="4">
        <f t="shared" si="16"/>
        <v>524.88000000000011</v>
      </c>
      <c r="K31" s="4"/>
      <c r="L31" s="4">
        <f t="shared" si="16"/>
        <v>472.39200000000011</v>
      </c>
      <c r="M31" s="4"/>
      <c r="N31" s="4">
        <f>0.9*L31</f>
        <v>425.15280000000013</v>
      </c>
    </row>
    <row r="33" spans="1:121">
      <c r="A33" s="8" t="s">
        <v>39</v>
      </c>
      <c r="F33" s="9" t="s">
        <v>40</v>
      </c>
    </row>
    <row r="34" spans="1:121">
      <c r="B34" t="s">
        <v>2</v>
      </c>
      <c r="D34" s="4" t="s">
        <v>3</v>
      </c>
      <c r="F34" s="9" t="s">
        <v>4</v>
      </c>
      <c r="H34" s="10" t="s">
        <v>5</v>
      </c>
      <c r="J34" s="11" t="s">
        <v>6</v>
      </c>
      <c r="L34" s="12" t="s">
        <v>7</v>
      </c>
      <c r="N34" s="13" t="s">
        <v>8</v>
      </c>
      <c r="V34" s="8" t="s">
        <v>39</v>
      </c>
    </row>
    <row r="35" spans="1:121">
      <c r="A35" t="s">
        <v>12</v>
      </c>
      <c r="B35">
        <v>2.0139999999999998</v>
      </c>
      <c r="D35" s="17">
        <v>2.0139999999999998</v>
      </c>
      <c r="F35" s="17">
        <v>2.0139999999999998</v>
      </c>
      <c r="H35" s="17">
        <v>2.0139999999999998</v>
      </c>
      <c r="J35" s="17">
        <v>2.0139999999999998</v>
      </c>
      <c r="L35" s="17">
        <v>2.0139999999999998</v>
      </c>
      <c r="N35" s="17">
        <v>2.0139999999999998</v>
      </c>
      <c r="V35" s="23" t="s">
        <v>9</v>
      </c>
      <c r="W35" s="28" t="s">
        <v>2</v>
      </c>
      <c r="X35" s="23" t="s">
        <v>3</v>
      </c>
      <c r="Y35" s="23" t="s">
        <v>4</v>
      </c>
      <c r="Z35" s="24" t="s">
        <v>5</v>
      </c>
      <c r="AA35" s="24" t="s">
        <v>6</v>
      </c>
      <c r="AB35" s="24" t="s">
        <v>15</v>
      </c>
      <c r="AC35" s="24" t="s">
        <v>8</v>
      </c>
    </row>
    <row r="36" spans="1:121" s="2" customFormat="1">
      <c r="A36" s="2" t="s">
        <v>16</v>
      </c>
      <c r="B36" s="2">
        <v>1782.481</v>
      </c>
      <c r="C36"/>
      <c r="D36">
        <v>2105.4189999999999</v>
      </c>
      <c r="E36"/>
      <c r="F36">
        <v>1428.729</v>
      </c>
      <c r="G36"/>
      <c r="H36">
        <v>1152.4190000000001</v>
      </c>
      <c r="I36"/>
      <c r="J36">
        <v>843.00530000000003</v>
      </c>
      <c r="K36"/>
      <c r="L36">
        <v>449.24990000000003</v>
      </c>
      <c r="M36"/>
      <c r="N36">
        <v>5.6193150000000003</v>
      </c>
      <c r="O36"/>
      <c r="P36"/>
      <c r="Q36"/>
      <c r="R36"/>
      <c r="S36"/>
      <c r="T36"/>
      <c r="U36"/>
      <c r="V36" s="23" t="s">
        <v>18</v>
      </c>
      <c r="W36" s="29">
        <f>B37*$R$10*$R$5</f>
        <v>4772906.0750000002</v>
      </c>
      <c r="X36" s="29">
        <f>D37*$R$10*$R$5</f>
        <v>3210545.4750000001</v>
      </c>
      <c r="Y36" s="25">
        <f>F37*$R$10*$R$5</f>
        <v>5576194.4249999998</v>
      </c>
      <c r="Z36" s="25">
        <f>H37*$R$10*$R$5</f>
        <v>5692988.9500000002</v>
      </c>
      <c r="AA36" s="25">
        <f>J37*$R$10*$R$5</f>
        <v>5804573.1000000006</v>
      </c>
      <c r="AB36" s="25">
        <f>L37*$R$10*$R$5</f>
        <v>5906838.7999999998</v>
      </c>
      <c r="AC36" s="25">
        <f>N37*$R$10*$R$5</f>
        <v>5623255.7000000002</v>
      </c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</row>
    <row r="37" spans="1:121" s="3" customFormat="1">
      <c r="A37" s="3" t="s">
        <v>19</v>
      </c>
      <c r="B37" s="3">
        <v>261.52910000000003</v>
      </c>
      <c r="C37"/>
      <c r="D37">
        <v>175.9203</v>
      </c>
      <c r="E37"/>
      <c r="F37">
        <v>305.54489999999998</v>
      </c>
      <c r="G37"/>
      <c r="H37">
        <v>311.94459999999998</v>
      </c>
      <c r="I37"/>
      <c r="J37">
        <v>318.05880000000002</v>
      </c>
      <c r="K37"/>
      <c r="L37">
        <v>323.66239999999999</v>
      </c>
      <c r="M37"/>
      <c r="N37">
        <v>308.12360000000001</v>
      </c>
      <c r="O37"/>
      <c r="P37"/>
      <c r="Q37"/>
      <c r="R37"/>
      <c r="S37"/>
      <c r="T37"/>
      <c r="U37"/>
      <c r="V37" s="23" t="s">
        <v>22</v>
      </c>
      <c r="W37" s="29">
        <f>(B37*(B40/100)/(1-(B40/100)))*$R$10*$R$6</f>
        <v>18561.301402777783</v>
      </c>
      <c r="X37" s="25">
        <f>(D37*(D40/100)/(1-(D40/100)))*$R$10*$R$6</f>
        <v>16246.133728915665</v>
      </c>
      <c r="Y37" s="25">
        <f>(F37*(F40/100)/(1-(F40/100)))*$R$10*$R$6</f>
        <v>37672.9489302949</v>
      </c>
      <c r="Z37" s="25">
        <f>(H37*(H40/100)/(1-(H40/100)))*$R$10*$R$6</f>
        <v>53365.153703657779</v>
      </c>
      <c r="AA37" s="25">
        <f>(J37*(J40/100)/(1-(J40/100)))*$R$10*$R$6</f>
        <v>80358.747387761337</v>
      </c>
      <c r="AB37" s="25">
        <f>(L37*(L40/100)/(1-(L40/100)))*$R$10*$R$6</f>
        <v>135702.971156713</v>
      </c>
      <c r="AC37" s="25">
        <f>(N37*(N40/100)/(1-(N40/100)))*$R$10*$R$6</f>
        <v>286806.85358711914</v>
      </c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</row>
    <row r="38" spans="1:121" s="1" customFormat="1">
      <c r="A38" s="1" t="s">
        <v>23</v>
      </c>
      <c r="B38" s="1">
        <f>B37*365</f>
        <v>95458.121500000008</v>
      </c>
      <c r="C38"/>
      <c r="D38" s="1">
        <f>D37*365</f>
        <v>64210.909500000002</v>
      </c>
      <c r="F38" s="1">
        <f t="shared" ref="F38:L38" si="17">F37*365</f>
        <v>111523.8885</v>
      </c>
      <c r="H38" s="1">
        <f t="shared" si="17"/>
        <v>113859.77899999999</v>
      </c>
      <c r="J38" s="1">
        <f>J37*365</f>
        <v>116091.46200000001</v>
      </c>
      <c r="L38" s="1">
        <f t="shared" si="17"/>
        <v>118136.776</v>
      </c>
      <c r="N38" s="1">
        <f>N37*365</f>
        <v>112465.114</v>
      </c>
      <c r="O38"/>
      <c r="P38"/>
      <c r="Q38"/>
      <c r="R38"/>
      <c r="S38"/>
      <c r="T38"/>
      <c r="U38"/>
      <c r="V38" s="23" t="s">
        <v>25</v>
      </c>
      <c r="W38" s="30">
        <v>0</v>
      </c>
      <c r="X38" s="26">
        <v>0</v>
      </c>
      <c r="Y38" s="26">
        <f xml:space="preserve"> ( F37/ (1 - (F40/100)) ) * $R$10 * $R$8</f>
        <v>56060.935908176943</v>
      </c>
      <c r="Z38" s="26">
        <f xml:space="preserve"> ( H37/ (1 - (H40/100)) ) * $R$10 * $R$8</f>
        <v>66177.025922194662</v>
      </c>
      <c r="AA38" s="26">
        <f xml:space="preserve"> ( J37/ (1 - (J40/100)) ) * $R$10 * $R$8</f>
        <v>83042.687032656802</v>
      </c>
      <c r="AB38" s="26">
        <f xml:space="preserve"> ( L37/ (1 - (L40/100)) ) * $R$10 * $R$8</f>
        <v>116862.8154940278</v>
      </c>
      <c r="AC38" s="26">
        <f xml:space="preserve"> ( J37/ (1 - (J40/100)) ) * $R$10 * $R$8</f>
        <v>83042.687032656802</v>
      </c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</row>
    <row r="39" spans="1:121" s="6" customFormat="1">
      <c r="A39" s="6" t="s">
        <v>26</v>
      </c>
      <c r="B39" s="6">
        <v>3000</v>
      </c>
      <c r="C39"/>
      <c r="D39" s="6">
        <f>B39-(0.002*(B37*365))</f>
        <v>2809.0837569999999</v>
      </c>
      <c r="F39" s="6">
        <f>B39-(0.002*((D37*365)+B38))</f>
        <v>2680.6619380000002</v>
      </c>
      <c r="H39" s="6">
        <f>B39-(0.002*((F37*365)+B38+D38))</f>
        <v>2457.614161</v>
      </c>
      <c r="J39" s="6">
        <f>B39-(0.002*((H37*365)+B38+D38+F38))</f>
        <v>2229.8946029999997</v>
      </c>
      <c r="L39" s="6">
        <f>B39-(0.002*((J37*365)+B38+D38+F38+H38))</f>
        <v>1997.711679</v>
      </c>
      <c r="N39" s="6">
        <f>B39-(0.002*((L37*365)+B38+D38+F38+H38+J38))</f>
        <v>1761.4381269999999</v>
      </c>
      <c r="O39"/>
      <c r="P39"/>
      <c r="Q39"/>
      <c r="R39"/>
      <c r="S39"/>
      <c r="T39"/>
      <c r="U39"/>
      <c r="V39" s="23" t="s">
        <v>29</v>
      </c>
      <c r="W39" s="29">
        <f t="shared" ref="W39:AC39" si="18">W38+W37</f>
        <v>18561.301402777783</v>
      </c>
      <c r="X39" s="25">
        <f t="shared" si="18"/>
        <v>16246.133728915665</v>
      </c>
      <c r="Y39" s="25">
        <f t="shared" si="18"/>
        <v>93733.884838471844</v>
      </c>
      <c r="Z39" s="25">
        <f t="shared" si="18"/>
        <v>119542.17962585244</v>
      </c>
      <c r="AA39" s="25">
        <f t="shared" si="18"/>
        <v>163401.43442041814</v>
      </c>
      <c r="AB39" s="25">
        <f t="shared" si="18"/>
        <v>252565.7866507408</v>
      </c>
      <c r="AC39" s="25">
        <f t="shared" si="18"/>
        <v>369849.54061977594</v>
      </c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</row>
    <row r="40" spans="1:121">
      <c r="A40" t="s">
        <v>30</v>
      </c>
      <c r="B40">
        <v>28</v>
      </c>
      <c r="D40" s="4">
        <f>1.2*B40</f>
        <v>33.6</v>
      </c>
      <c r="E40" s="4"/>
      <c r="F40" s="4">
        <f t="shared" ref="F40:N40" si="19">1.2*D40</f>
        <v>40.32</v>
      </c>
      <c r="G40" s="4"/>
      <c r="H40" s="4">
        <f t="shared" si="19"/>
        <v>48.384</v>
      </c>
      <c r="I40" s="4"/>
      <c r="J40" s="4">
        <f t="shared" si="19"/>
        <v>58.0608</v>
      </c>
      <c r="K40" s="4"/>
      <c r="L40" s="4">
        <f t="shared" si="19"/>
        <v>69.672960000000003</v>
      </c>
      <c r="M40" s="4"/>
      <c r="N40" s="4">
        <f t="shared" si="19"/>
        <v>83.607551999999998</v>
      </c>
      <c r="V40" s="23" t="s">
        <v>33</v>
      </c>
      <c r="W40" s="29">
        <f t="shared" ref="W40:AC40" si="20">W36-W39</f>
        <v>4754344.7735972228</v>
      </c>
      <c r="X40" s="25">
        <f t="shared" si="20"/>
        <v>3194299.3412710843</v>
      </c>
      <c r="Y40" s="25">
        <f t="shared" si="20"/>
        <v>5482460.5401615277</v>
      </c>
      <c r="Z40" s="25">
        <f t="shared" si="20"/>
        <v>5573446.7703741482</v>
      </c>
      <c r="AA40" s="25">
        <f t="shared" si="20"/>
        <v>5641171.6655795826</v>
      </c>
      <c r="AB40" s="25">
        <f t="shared" si="20"/>
        <v>5654273.0133492593</v>
      </c>
      <c r="AC40" s="25">
        <f t="shared" si="20"/>
        <v>5253406.1593802245</v>
      </c>
    </row>
    <row r="41" spans="1:121">
      <c r="A41" t="s">
        <v>34</v>
      </c>
      <c r="B41">
        <v>420</v>
      </c>
      <c r="D41" s="4">
        <f>0.9*B41</f>
        <v>378</v>
      </c>
      <c r="E41" s="4"/>
      <c r="F41" s="4">
        <f t="shared" ref="F41:N41" si="21">0.9*D41</f>
        <v>340.2</v>
      </c>
      <c r="G41" s="4"/>
      <c r="H41" s="4">
        <f t="shared" si="21"/>
        <v>306.18</v>
      </c>
      <c r="I41" s="4"/>
      <c r="J41" s="4">
        <f t="shared" si="21"/>
        <v>275.56200000000001</v>
      </c>
      <c r="K41" s="4"/>
      <c r="L41" s="4">
        <f t="shared" si="21"/>
        <v>248.00580000000002</v>
      </c>
      <c r="M41" s="4"/>
      <c r="N41" s="4">
        <f t="shared" si="21"/>
        <v>223.20522000000003</v>
      </c>
    </row>
    <row r="43" spans="1:121">
      <c r="A43" s="8" t="s">
        <v>41</v>
      </c>
      <c r="D43" s="4" t="s">
        <v>42</v>
      </c>
    </row>
    <row r="44" spans="1:121">
      <c r="B44" t="s">
        <v>2</v>
      </c>
      <c r="D44" s="4" t="s">
        <v>3</v>
      </c>
      <c r="F44" s="9" t="s">
        <v>4</v>
      </c>
      <c r="H44" s="10" t="s">
        <v>5</v>
      </c>
      <c r="J44" s="11" t="s">
        <v>6</v>
      </c>
      <c r="L44" s="12" t="s">
        <v>7</v>
      </c>
      <c r="V44" s="8" t="s">
        <v>41</v>
      </c>
    </row>
    <row r="45" spans="1:121">
      <c r="A45" t="s">
        <v>12</v>
      </c>
      <c r="B45">
        <v>2.0409999999999999</v>
      </c>
      <c r="D45" s="18">
        <v>2.0409999999999999</v>
      </c>
      <c r="F45" s="18">
        <v>2.0409999999999999</v>
      </c>
      <c r="H45" s="18">
        <v>2.0409999999999999</v>
      </c>
      <c r="J45" s="18">
        <v>2.0409999999999999</v>
      </c>
      <c r="L45" s="18">
        <v>2.0409999999999999</v>
      </c>
      <c r="N45" s="18"/>
      <c r="V45" s="23" t="s">
        <v>9</v>
      </c>
      <c r="W45" s="28" t="s">
        <v>2</v>
      </c>
      <c r="X45" s="23" t="s">
        <v>3</v>
      </c>
      <c r="Y45" s="23" t="s">
        <v>4</v>
      </c>
      <c r="Z45" s="24" t="s">
        <v>5</v>
      </c>
      <c r="AA45" s="24" t="s">
        <v>6</v>
      </c>
      <c r="AB45" s="24" t="s">
        <v>15</v>
      </c>
      <c r="AC45" s="24" t="s">
        <v>8</v>
      </c>
    </row>
    <row r="46" spans="1:121" s="2" customFormat="1">
      <c r="A46" s="2" t="s">
        <v>16</v>
      </c>
      <c r="B46" s="2">
        <v>3046.2730000000001</v>
      </c>
      <c r="C46"/>
      <c r="D46">
        <v>1807.1559999999999</v>
      </c>
      <c r="E46"/>
      <c r="F46">
        <v>1716.452</v>
      </c>
      <c r="G46"/>
      <c r="H46">
        <v>1738.405</v>
      </c>
      <c r="I46"/>
      <c r="J46">
        <v>1805.039</v>
      </c>
      <c r="K46"/>
      <c r="L46">
        <v>1807.44</v>
      </c>
      <c r="M46"/>
      <c r="N46" s="14"/>
      <c r="O46"/>
      <c r="P46"/>
      <c r="Q46"/>
      <c r="R46"/>
      <c r="S46"/>
      <c r="T46"/>
      <c r="U46"/>
      <c r="V46" s="23" t="s">
        <v>18</v>
      </c>
      <c r="W46" s="29">
        <f>B47*$R$10*$R$5</f>
        <v>12493192.624999998</v>
      </c>
      <c r="X46" s="29">
        <f>D47*$R$10*$R$5</f>
        <v>18470971</v>
      </c>
      <c r="Y46" s="25">
        <f>F47*$R$10*$R$5</f>
        <v>13703963.325000001</v>
      </c>
      <c r="Z46" s="25">
        <f>H47*$R$10*$R$5</f>
        <v>9575017.625</v>
      </c>
      <c r="AA46" s="25">
        <f>J47*$R$10*$R$5</f>
        <v>6222607.6000000006</v>
      </c>
      <c r="AB46" s="25">
        <f>L47*$R$10*$R$5</f>
        <v>4327755.7250000006</v>
      </c>
      <c r="AC46" s="25">
        <f>N47*$R$10*$R$5</f>
        <v>0</v>
      </c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</row>
    <row r="47" spans="1:121" s="3" customFormat="1">
      <c r="A47" s="3" t="s">
        <v>19</v>
      </c>
      <c r="B47" s="3">
        <v>684.55849999999998</v>
      </c>
      <c r="C47"/>
      <c r="D47">
        <v>1012.1079999999999</v>
      </c>
      <c r="E47"/>
      <c r="F47">
        <v>750.90210000000002</v>
      </c>
      <c r="G47"/>
      <c r="H47">
        <v>524.6585</v>
      </c>
      <c r="I47"/>
      <c r="J47">
        <v>340.96480000000003</v>
      </c>
      <c r="K47"/>
      <c r="L47">
        <v>237.13730000000001</v>
      </c>
      <c r="M47"/>
      <c r="N47" s="15"/>
      <c r="O47"/>
      <c r="P47"/>
      <c r="Q47"/>
      <c r="R47"/>
      <c r="S47"/>
      <c r="T47"/>
      <c r="U47"/>
      <c r="V47" s="23" t="s">
        <v>22</v>
      </c>
      <c r="W47" s="29">
        <f>(B47*(B50/100)/(1-(B50/100)))*$R$10*$R$6</f>
        <v>102217.03056818181</v>
      </c>
      <c r="X47" s="25">
        <f>(D47*(D50/100)/(1-(D50/100)))*$R$10*$R$6</f>
        <v>216833.13782608698</v>
      </c>
      <c r="Y47" s="25">
        <f>(F47*(F50/100)/(1-(F50/100)))*$R$10*$R$6</f>
        <v>252277.50666477275</v>
      </c>
      <c r="Z47" s="25">
        <f>(H47*(H50/100)/(1-(H50/100)))*$R$10*$R$6</f>
        <v>334781.19178057543</v>
      </c>
      <c r="AA47" s="25">
        <f>(J47*(J50/100)/(1-(J50/100)))*$R$10*$R$6</f>
        <v>868187.7397894715</v>
      </c>
      <c r="AB47" s="25" t="e">
        <f>(L47*(L50/100)/(1-(L50/100)))*$R$10*$R$6</f>
        <v>#DIV/0!</v>
      </c>
      <c r="AC47" s="25">
        <f>(N47*(N50/100)/(1-(N50/100)))*$R$10*$R$6</f>
        <v>0</v>
      </c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</row>
    <row r="48" spans="1:121" s="1" customFormat="1">
      <c r="A48" s="1" t="s">
        <v>23</v>
      </c>
      <c r="B48" s="1">
        <f>365*B47</f>
        <v>249863.85249999998</v>
      </c>
      <c r="C48"/>
      <c r="D48" s="1">
        <f>D47*365</f>
        <v>369419.42</v>
      </c>
      <c r="F48" s="1">
        <f t="shared" ref="F48:L48" si="22">F47*365</f>
        <v>274079.26650000003</v>
      </c>
      <c r="H48" s="1">
        <f t="shared" si="22"/>
        <v>191500.35250000001</v>
      </c>
      <c r="J48" s="1">
        <f t="shared" si="22"/>
        <v>124452.15200000002</v>
      </c>
      <c r="L48" s="1">
        <f t="shared" si="22"/>
        <v>86555.114500000011</v>
      </c>
      <c r="O48"/>
      <c r="P48"/>
      <c r="Q48"/>
      <c r="R48"/>
      <c r="S48"/>
      <c r="T48"/>
      <c r="U48"/>
      <c r="V48" s="23" t="s">
        <v>25</v>
      </c>
      <c r="W48" s="30">
        <v>0</v>
      </c>
      <c r="X48" s="26">
        <f xml:space="preserve"> ( D47/ (1 - (D50/100)) ) * $R$10 * $R$7</f>
        <v>602314.27173913049</v>
      </c>
      <c r="Y48" s="26">
        <f xml:space="preserve"> ( F47/ (1 - (F50/100)) ) * $R$10 * $R$7</f>
        <v>583975.70987215918</v>
      </c>
      <c r="Z48" s="26">
        <f xml:space="preserve"> ( H47/ (1 - (H50/100)) ) * $R$10 * $R$7</f>
        <v>645797.05204586312</v>
      </c>
      <c r="AA48" s="26">
        <f xml:space="preserve"> ( J47/ (1 - (J50/100)) ) * $R$10 * $R$7</f>
        <v>1395620.7236842073</v>
      </c>
      <c r="AB48" s="26" t="e">
        <f xml:space="preserve"> ( L47/ (1 - (L50/100)) ) * $R$10 * $R$7</f>
        <v>#DIV/0!</v>
      </c>
      <c r="AC48" s="26">
        <f xml:space="preserve"> ( N47/ (1 - (N50/100)) ) * $R$10 * $R$7</f>
        <v>0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</row>
    <row r="49" spans="1:121" s="6" customFormat="1">
      <c r="A49" s="6" t="s">
        <v>26</v>
      </c>
      <c r="B49" s="6">
        <v>4800</v>
      </c>
      <c r="C49"/>
      <c r="D49" s="6">
        <f>B49-(0.002*(B47*365))</f>
        <v>4300.2722949999998</v>
      </c>
      <c r="E49"/>
      <c r="F49" s="6">
        <f t="shared" ref="F49" si="23">D49-(0.002*(D47*365))</f>
        <v>3561.4334549999999</v>
      </c>
      <c r="H49" s="6">
        <f t="shared" ref="H49" si="24">F49-(0.002*(F47*365))</f>
        <v>3013.2749219999996</v>
      </c>
      <c r="J49" s="6">
        <f t="shared" ref="J49" si="25">H49-(0.002*(H47*365))</f>
        <v>2630.2742169999997</v>
      </c>
      <c r="L49" s="6">
        <f t="shared" ref="L49" si="26">J49-(0.002*(J47*365))</f>
        <v>2381.3699129999995</v>
      </c>
      <c r="O49"/>
      <c r="P49"/>
      <c r="Q49"/>
      <c r="R49"/>
      <c r="S49"/>
      <c r="T49"/>
      <c r="U49"/>
      <c r="V49" s="23" t="s">
        <v>29</v>
      </c>
      <c r="W49" s="29">
        <f t="shared" ref="W49:AC49" si="27">W48+W47</f>
        <v>102217.03056818181</v>
      </c>
      <c r="X49" s="25">
        <f t="shared" si="27"/>
        <v>819147.40956521744</v>
      </c>
      <c r="Y49" s="25">
        <f t="shared" si="27"/>
        <v>836253.21653693193</v>
      </c>
      <c r="Z49" s="25">
        <f t="shared" si="27"/>
        <v>980578.24382643856</v>
      </c>
      <c r="AA49" s="25">
        <f t="shared" si="27"/>
        <v>2263808.4634736786</v>
      </c>
      <c r="AB49" s="25" t="e">
        <f t="shared" si="27"/>
        <v>#DIV/0!</v>
      </c>
      <c r="AC49" s="25">
        <f t="shared" si="27"/>
        <v>0</v>
      </c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</row>
    <row r="50" spans="1:121">
      <c r="A50" t="s">
        <v>30</v>
      </c>
      <c r="B50">
        <v>45</v>
      </c>
      <c r="D50" s="4">
        <f>1.2*B50</f>
        <v>54</v>
      </c>
      <c r="F50" s="4">
        <f t="shared" ref="F50:J50" si="28">1.2*D50</f>
        <v>64.8</v>
      </c>
      <c r="G50" s="4"/>
      <c r="H50" s="4">
        <f t="shared" si="28"/>
        <v>77.759999999999991</v>
      </c>
      <c r="I50" s="4"/>
      <c r="J50" s="4">
        <f t="shared" si="28"/>
        <v>93.311999999999983</v>
      </c>
      <c r="K50" s="4"/>
      <c r="L50" s="4">
        <v>100</v>
      </c>
      <c r="M50" s="4"/>
      <c r="N50" s="4"/>
      <c r="V50" s="23" t="s">
        <v>33</v>
      </c>
      <c r="W50" s="29">
        <f t="shared" ref="W50:AC50" si="29">W46-W49</f>
        <v>12390975.594431816</v>
      </c>
      <c r="X50" s="25">
        <f t="shared" si="29"/>
        <v>17651823.590434782</v>
      </c>
      <c r="Y50" s="25">
        <f t="shared" si="29"/>
        <v>12867710.108463069</v>
      </c>
      <c r="Z50" s="25">
        <f t="shared" si="29"/>
        <v>8594439.3811735623</v>
      </c>
      <c r="AA50" s="25">
        <f t="shared" si="29"/>
        <v>3958799.136526322</v>
      </c>
      <c r="AB50" s="25" t="e">
        <f t="shared" si="29"/>
        <v>#DIV/0!</v>
      </c>
      <c r="AC50" s="25">
        <f t="shared" si="29"/>
        <v>0</v>
      </c>
    </row>
    <row r="51" spans="1:121">
      <c r="A51" t="s">
        <v>34</v>
      </c>
      <c r="B51">
        <v>450</v>
      </c>
      <c r="D51" s="4">
        <f>0.9*B51</f>
        <v>405</v>
      </c>
      <c r="E51" s="4"/>
      <c r="F51" s="4">
        <f t="shared" ref="F51:L51" si="30">0.9*D51</f>
        <v>364.5</v>
      </c>
      <c r="G51" s="4"/>
      <c r="H51" s="4">
        <f t="shared" si="30"/>
        <v>328.05</v>
      </c>
      <c r="I51" s="4"/>
      <c r="J51" s="4">
        <f t="shared" si="30"/>
        <v>295.245</v>
      </c>
      <c r="K51" s="4"/>
      <c r="L51" s="4">
        <f t="shared" si="30"/>
        <v>265.72050000000002</v>
      </c>
      <c r="M51" s="4"/>
      <c r="N51" s="4"/>
    </row>
    <row r="54" spans="1:121">
      <c r="A54" s="8" t="s">
        <v>43</v>
      </c>
      <c r="D54" s="4" t="s">
        <v>44</v>
      </c>
    </row>
    <row r="55" spans="1:121">
      <c r="B55" t="s">
        <v>2</v>
      </c>
      <c r="D55" s="4" t="s">
        <v>3</v>
      </c>
      <c r="F55" s="9" t="s">
        <v>4</v>
      </c>
      <c r="H55" s="10" t="s">
        <v>5</v>
      </c>
      <c r="J55" s="11" t="s">
        <v>6</v>
      </c>
      <c r="L55" s="12" t="s">
        <v>7</v>
      </c>
      <c r="N55" s="13" t="s">
        <v>8</v>
      </c>
      <c r="V55" s="8" t="s">
        <v>43</v>
      </c>
    </row>
    <row r="56" spans="1:121">
      <c r="A56" t="s">
        <v>12</v>
      </c>
      <c r="B56" s="17">
        <v>2.0139999999999998</v>
      </c>
      <c r="D56" s="17">
        <v>2.0139999999999998</v>
      </c>
      <c r="F56" s="17">
        <v>2.0139999999999998</v>
      </c>
      <c r="H56" s="17">
        <v>2.0139999999999998</v>
      </c>
      <c r="J56" s="17">
        <v>2.0139999999999998</v>
      </c>
      <c r="L56" s="17">
        <v>2.0139999999999998</v>
      </c>
      <c r="N56" s="17">
        <v>2.0139999999999998</v>
      </c>
      <c r="V56" s="23" t="s">
        <v>9</v>
      </c>
      <c r="W56" s="28" t="s">
        <v>2</v>
      </c>
      <c r="X56" s="23" t="s">
        <v>3</v>
      </c>
      <c r="Y56" s="23" t="s">
        <v>4</v>
      </c>
      <c r="Z56" s="24" t="s">
        <v>5</v>
      </c>
      <c r="AA56" s="24" t="s">
        <v>6</v>
      </c>
      <c r="AB56" s="24" t="s">
        <v>15</v>
      </c>
      <c r="AC56" s="24" t="s">
        <v>8</v>
      </c>
    </row>
    <row r="57" spans="1:121" s="2" customFormat="1">
      <c r="A57" s="2" t="s">
        <v>16</v>
      </c>
      <c r="B57">
        <v>2431.6329999999998</v>
      </c>
      <c r="C57"/>
      <c r="D57">
        <v>2291.239</v>
      </c>
      <c r="E57"/>
      <c r="F57">
        <v>2224.0010000000002</v>
      </c>
      <c r="G57"/>
      <c r="H57">
        <v>2156.011</v>
      </c>
      <c r="I57"/>
      <c r="J57">
        <v>2087.2710000000002</v>
      </c>
      <c r="K57"/>
      <c r="L57">
        <v>2017.59</v>
      </c>
      <c r="M57"/>
      <c r="N57">
        <v>1946.854</v>
      </c>
      <c r="O57"/>
      <c r="P57"/>
      <c r="Q57"/>
      <c r="R57"/>
      <c r="S57"/>
      <c r="T57"/>
      <c r="U57"/>
      <c r="V57" s="23" t="s">
        <v>18</v>
      </c>
      <c r="W57" s="29">
        <f>B58*$R$10*$R$5</f>
        <v>1210085.23</v>
      </c>
      <c r="X57" s="29">
        <f>D58*$R$10*$R$5</f>
        <v>1512285.3374999999</v>
      </c>
      <c r="Y57" s="25">
        <f>F58*$R$10*$R$5</f>
        <v>1534419.4849999999</v>
      </c>
      <c r="Z57" s="25">
        <f>H58*$R$10*$R$5</f>
        <v>1556067.4525000001</v>
      </c>
      <c r="AA57" s="25">
        <f>J58*$R$10*$R$5</f>
        <v>1577552.9950000001</v>
      </c>
      <c r="AB57" s="25">
        <f>L58*$R$10*$R$5</f>
        <v>1599171.7625</v>
      </c>
      <c r="AC57" s="25">
        <f>N58*$R$10*$R$5</f>
        <v>1621298.0625</v>
      </c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</row>
    <row r="58" spans="1:121" s="3" customFormat="1">
      <c r="A58" s="3" t="s">
        <v>19</v>
      </c>
      <c r="B58">
        <v>66.306039999999996</v>
      </c>
      <c r="C58"/>
      <c r="D58">
        <v>82.864949999999993</v>
      </c>
      <c r="E58"/>
      <c r="F58">
        <v>84.077780000000004</v>
      </c>
      <c r="G58"/>
      <c r="H58">
        <v>85.26397</v>
      </c>
      <c r="I58"/>
      <c r="J58">
        <v>86.44126</v>
      </c>
      <c r="K58"/>
      <c r="L58">
        <v>87.62585</v>
      </c>
      <c r="M58"/>
      <c r="N58">
        <v>88.838250000000002</v>
      </c>
      <c r="O58"/>
      <c r="P58"/>
      <c r="Q58"/>
      <c r="R58"/>
      <c r="S58"/>
      <c r="T58"/>
      <c r="U58"/>
      <c r="V58" s="23" t="s">
        <v>22</v>
      </c>
      <c r="W58" s="29">
        <f>(B58*(B61/100)/(1-(B61/100)))*$R$10*$R$6</f>
        <v>5186.0795571428571</v>
      </c>
      <c r="X58" s="25">
        <f>(D58*(D61/100)/(1-(D61/100)))*$R$10*$R$6</f>
        <v>8506.6050234374998</v>
      </c>
      <c r="Y58" s="25">
        <f>(F58*(F61/100)/(1-(F61/100)))*$R$10*$R$6</f>
        <v>11670.232702816898</v>
      </c>
      <c r="Z58" s="25">
        <f>(H58*(H61/100)/(1-(H61/100)))*$R$10*$R$6</f>
        <v>16749.696166445181</v>
      </c>
      <c r="AA58" s="25">
        <f>(J58*(J61/100)/(1-(J61/100)))*$R$10*$R$6</f>
        <v>25967.510772904312</v>
      </c>
      <c r="AB58" s="25">
        <f>(L58*(L61/100)/(1-(L61/100)))*$R$10*$R$6</f>
        <v>47090.985705124956</v>
      </c>
      <c r="AC58" s="25">
        <f>(N58*(N61/100)/(1-(N61/100)))*$R$10*$R$6</f>
        <v>139374.67584571906</v>
      </c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</row>
    <row r="59" spans="1:121" s="1" customFormat="1">
      <c r="A59" s="1" t="s">
        <v>23</v>
      </c>
      <c r="B59" s="1">
        <f>B58*365</f>
        <v>24201.704599999997</v>
      </c>
      <c r="D59" s="1">
        <f t="shared" ref="D59:N59" si="31">D58*365</f>
        <v>30245.706749999998</v>
      </c>
      <c r="F59" s="1">
        <f t="shared" si="31"/>
        <v>30688.3897</v>
      </c>
      <c r="H59" s="1">
        <f t="shared" si="31"/>
        <v>31121.349050000001</v>
      </c>
      <c r="J59" s="1">
        <f t="shared" si="31"/>
        <v>31551.0599</v>
      </c>
      <c r="L59" s="1">
        <f t="shared" si="31"/>
        <v>31983.435249999999</v>
      </c>
      <c r="N59" s="1">
        <f t="shared" si="31"/>
        <v>32425.96125</v>
      </c>
      <c r="O59"/>
      <c r="P59"/>
      <c r="Q59"/>
      <c r="R59"/>
      <c r="S59"/>
      <c r="T59"/>
      <c r="U59"/>
      <c r="V59" s="23" t="s">
        <v>25</v>
      </c>
      <c r="W59" s="30">
        <v>0</v>
      </c>
      <c r="X59" s="26">
        <f xml:space="preserve"> ( D58/ (1 - (D61/100)) ) * $R$10 * $R$8</f>
        <v>14177.675039062498</v>
      </c>
      <c r="Y59" s="26">
        <f xml:space="preserve"> ( F58/ (1 - (F61/100)) ) * $R$10 * $R$8</f>
        <v>16208.656531690138</v>
      </c>
      <c r="Z59" s="26">
        <f xml:space="preserve"> ( H58/ (1 - (H61/100)) ) * $R$10 * $R$8</f>
        <v>19386.222414867108</v>
      </c>
      <c r="AA59" s="26">
        <f xml:space="preserve"> ( J58/ (1 - (J61/100)) ) * $R$10 * $R$8</f>
        <v>25045.824433742586</v>
      </c>
      <c r="AB59" s="26">
        <f xml:space="preserve"> ( L58/ (1 - (L61/100)) ) * $R$10 * $R$8</f>
        <v>37849.621998074974</v>
      </c>
      <c r="AC59" s="26">
        <f xml:space="preserve"> ( N58/ (1 - (N61/100)) ) * $R$10 * $R$8</f>
        <v>93352.593882431436</v>
      </c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</row>
    <row r="60" spans="1:121" s="7" customFormat="1">
      <c r="A60" s="7" t="s">
        <v>26</v>
      </c>
      <c r="B60" s="7">
        <v>2800</v>
      </c>
      <c r="C60"/>
      <c r="D60" s="7">
        <f>B60-(0.002*(B58*365))</f>
        <v>2751.5965907999998</v>
      </c>
      <c r="F60" s="7">
        <f>B60-(0.002*((D58*365)+B59))</f>
        <v>2691.1051772999999</v>
      </c>
      <c r="H60" s="7">
        <f>B60-(0.002*((F58*365)+B59+D59))</f>
        <v>2629.7283978999999</v>
      </c>
      <c r="J60" s="7">
        <f>B60-(0.002*((H58*365)+B59+D59+F59))</f>
        <v>2567.4856998</v>
      </c>
      <c r="L60" s="7">
        <f>B60-(0.002*((J58*365)+B59+D59+F59+H59))</f>
        <v>2504.3835800000002</v>
      </c>
      <c r="N60" s="7">
        <f>B60-(0.002*((L58*365)+B59+D59+F59+H59+J59))</f>
        <v>2440.4167095000003</v>
      </c>
      <c r="O60"/>
      <c r="P60"/>
      <c r="Q60"/>
      <c r="R60"/>
      <c r="S60"/>
      <c r="T60"/>
      <c r="U60"/>
      <c r="V60" s="23" t="s">
        <v>29</v>
      </c>
      <c r="W60" s="29">
        <f t="shared" ref="W60:AC60" si="32">W59+W58</f>
        <v>5186.0795571428571</v>
      </c>
      <c r="X60" s="25">
        <f t="shared" si="32"/>
        <v>22684.280062499998</v>
      </c>
      <c r="Y60" s="25">
        <f t="shared" si="32"/>
        <v>27878.889234507034</v>
      </c>
      <c r="Z60" s="25">
        <f t="shared" si="32"/>
        <v>36135.918581312289</v>
      </c>
      <c r="AA60" s="25">
        <f t="shared" si="32"/>
        <v>51013.335206646894</v>
      </c>
      <c r="AB60" s="25">
        <f t="shared" si="32"/>
        <v>84940.60770319993</v>
      </c>
      <c r="AC60" s="25">
        <f t="shared" si="32"/>
        <v>232727.26972815051</v>
      </c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</row>
    <row r="61" spans="1:121">
      <c r="A61" t="s">
        <v>30</v>
      </c>
      <c r="B61">
        <v>30</v>
      </c>
      <c r="D61" s="4">
        <f>1.2*B61</f>
        <v>36</v>
      </c>
      <c r="E61" s="4"/>
      <c r="F61" s="4">
        <f t="shared" ref="F61:N61" si="33">1.2*D61</f>
        <v>43.199999999999996</v>
      </c>
      <c r="G61" s="4"/>
      <c r="H61" s="4">
        <f t="shared" si="33"/>
        <v>51.839999999999996</v>
      </c>
      <c r="I61" s="4"/>
      <c r="J61" s="4">
        <f t="shared" si="33"/>
        <v>62.207999999999991</v>
      </c>
      <c r="K61" s="4"/>
      <c r="L61" s="4">
        <f t="shared" si="33"/>
        <v>74.649599999999992</v>
      </c>
      <c r="M61" s="4"/>
      <c r="N61" s="4">
        <f t="shared" si="33"/>
        <v>89.579519999999988</v>
      </c>
      <c r="V61" s="23" t="s">
        <v>33</v>
      </c>
      <c r="W61" s="29">
        <f t="shared" ref="W61:AC61" si="34">W57-W60</f>
        <v>1204899.1504428571</v>
      </c>
      <c r="X61" s="25">
        <f t="shared" si="34"/>
        <v>1489601.0574375</v>
      </c>
      <c r="Y61" s="25">
        <f t="shared" si="34"/>
        <v>1506540.5957654929</v>
      </c>
      <c r="Z61" s="25">
        <f t="shared" si="34"/>
        <v>1519931.5339186878</v>
      </c>
      <c r="AA61" s="25">
        <f t="shared" si="34"/>
        <v>1526539.6597933532</v>
      </c>
      <c r="AB61" s="25">
        <f t="shared" si="34"/>
        <v>1514231.1547968001</v>
      </c>
      <c r="AC61" s="25">
        <f t="shared" si="34"/>
        <v>1388570.7927718495</v>
      </c>
    </row>
    <row r="62" spans="1:121">
      <c r="A62" t="s">
        <v>34</v>
      </c>
      <c r="B62">
        <v>290</v>
      </c>
      <c r="D62" s="4">
        <f>0.9*B62</f>
        <v>261</v>
      </c>
      <c r="E62" s="4"/>
      <c r="F62" s="4">
        <f t="shared" ref="F62:N62" si="35">0.9*D62</f>
        <v>234.9</v>
      </c>
      <c r="G62" s="4"/>
      <c r="H62" s="4">
        <f t="shared" si="35"/>
        <v>211.41</v>
      </c>
      <c r="I62" s="4"/>
      <c r="J62" s="4">
        <f t="shared" si="35"/>
        <v>190.26900000000001</v>
      </c>
      <c r="K62" s="4"/>
      <c r="L62" s="4">
        <f t="shared" si="35"/>
        <v>171.24210000000002</v>
      </c>
      <c r="M62" s="4"/>
      <c r="N62" s="4">
        <f t="shared" si="35"/>
        <v>154.11789000000002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E5125-8547-48C3-8023-0AB6A3607B87}">
  <dimension ref="A2:N39"/>
  <sheetViews>
    <sheetView topLeftCell="B37" workbookViewId="0">
      <selection activeCell="E46" sqref="E46"/>
    </sheetView>
  </sheetViews>
  <sheetFormatPr defaultRowHeight="14.45"/>
  <cols>
    <col min="1" max="1" width="16.7109375" customWidth="1"/>
    <col min="2" max="2" width="16.28515625" customWidth="1"/>
    <col min="3" max="3" width="16.85546875" bestFit="1" customWidth="1"/>
    <col min="5" max="5" width="13.140625" customWidth="1"/>
    <col min="6" max="6" width="12.140625" bestFit="1" customWidth="1"/>
    <col min="7" max="7" width="14" bestFit="1" customWidth="1"/>
  </cols>
  <sheetData>
    <row r="2" spans="1:14">
      <c r="A2" s="32" t="s">
        <v>45</v>
      </c>
    </row>
    <row r="3" spans="1:14">
      <c r="A3" s="8" t="s">
        <v>46</v>
      </c>
      <c r="B3" s="8" t="s">
        <v>47</v>
      </c>
      <c r="C3" s="8" t="s">
        <v>48</v>
      </c>
      <c r="D3" s="8" t="s">
        <v>49</v>
      </c>
      <c r="G3" s="8" t="s">
        <v>50</v>
      </c>
      <c r="N3" t="s">
        <v>51</v>
      </c>
    </row>
    <row r="4" spans="1:14">
      <c r="A4">
        <v>0</v>
      </c>
      <c r="B4">
        <v>4200</v>
      </c>
      <c r="C4">
        <v>185</v>
      </c>
    </row>
    <row r="5" spans="1:14">
      <c r="A5">
        <v>0</v>
      </c>
      <c r="B5">
        <v>1119.2929999999999</v>
      </c>
      <c r="C5">
        <v>179.3997</v>
      </c>
    </row>
    <row r="6" spans="1:14">
      <c r="A6">
        <v>0</v>
      </c>
      <c r="B6">
        <v>1119.2929999999999</v>
      </c>
      <c r="C6">
        <v>179.3997</v>
      </c>
      <c r="D6">
        <v>1.116986</v>
      </c>
    </row>
    <row r="7" spans="1:14">
      <c r="A7">
        <v>294.8</v>
      </c>
      <c r="B7">
        <v>1092.9939999999999</v>
      </c>
      <c r="C7">
        <v>179.2544</v>
      </c>
      <c r="D7">
        <v>1.150077</v>
      </c>
    </row>
    <row r="8" spans="1:14">
      <c r="A8">
        <v>1000</v>
      </c>
      <c r="B8">
        <v>1032.32</v>
      </c>
      <c r="C8">
        <v>176.928</v>
      </c>
      <c r="D8">
        <v>1.2273419999999999</v>
      </c>
    </row>
    <row r="9" spans="1:14">
      <c r="A9">
        <v>1000</v>
      </c>
      <c r="B9">
        <v>1032.3130000000001</v>
      </c>
      <c r="C9">
        <v>176.928</v>
      </c>
      <c r="D9">
        <v>3.2758340000000001</v>
      </c>
    </row>
    <row r="10" spans="1:14">
      <c r="A10">
        <v>1159.5999999999999</v>
      </c>
      <c r="B10">
        <v>1017.518</v>
      </c>
      <c r="C10">
        <v>176.22919999999999</v>
      </c>
      <c r="D10">
        <v>3.3285879999999999</v>
      </c>
    </row>
    <row r="11" spans="1:14">
      <c r="A11">
        <v>2029.1</v>
      </c>
      <c r="B11">
        <v>938.45690000000002</v>
      </c>
      <c r="C11">
        <v>171.35429999999999</v>
      </c>
      <c r="D11">
        <v>3.6318090000000001</v>
      </c>
    </row>
    <row r="12" spans="1:14">
      <c r="A12">
        <v>2909.1</v>
      </c>
      <c r="B12">
        <v>860.93719999999996</v>
      </c>
      <c r="C12">
        <v>164.98099999999999</v>
      </c>
      <c r="D12">
        <v>3.9704929999999998</v>
      </c>
    </row>
    <row r="13" spans="1:14">
      <c r="A13">
        <v>3696.8</v>
      </c>
      <c r="B13">
        <v>793.95450000000005</v>
      </c>
      <c r="C13">
        <v>158.42080000000001</v>
      </c>
      <c r="D13">
        <v>4.3080990000000003</v>
      </c>
    </row>
    <row r="14" spans="1:14">
      <c r="A14">
        <v>4696.8</v>
      </c>
      <c r="B14">
        <v>710.66880000000003</v>
      </c>
      <c r="C14">
        <v>149.23509999999999</v>
      </c>
      <c r="D14">
        <v>4.8090070000000003</v>
      </c>
    </row>
    <row r="15" spans="1:14">
      <c r="A15">
        <v>5598</v>
      </c>
      <c r="B15">
        <v>637.86</v>
      </c>
      <c r="C15">
        <v>140.39570000000001</v>
      </c>
      <c r="D15">
        <v>5.3484850000000002</v>
      </c>
    </row>
    <row r="16" spans="1:14">
      <c r="A16">
        <v>6385.6</v>
      </c>
      <c r="B16">
        <v>575.12130000000002</v>
      </c>
      <c r="C16">
        <v>132.33349999999999</v>
      </c>
      <c r="D16">
        <v>5.9209100000000001</v>
      </c>
    </row>
    <row r="17" spans="1:7">
      <c r="A17">
        <v>7385.6</v>
      </c>
      <c r="B17">
        <v>497.42189999999999</v>
      </c>
      <c r="C17">
        <v>121.7741</v>
      </c>
      <c r="D17">
        <v>6.827604</v>
      </c>
    </row>
    <row r="18" spans="1:7">
      <c r="A18">
        <v>8265.7000000000007</v>
      </c>
      <c r="B18">
        <v>429.9314</v>
      </c>
      <c r="C18">
        <v>112.2161</v>
      </c>
      <c r="D18">
        <v>7.8815759999999999</v>
      </c>
    </row>
    <row r="19" spans="1:7">
      <c r="A19">
        <v>9135.2000000000007</v>
      </c>
      <c r="B19">
        <v>364.38729999999998</v>
      </c>
      <c r="C19">
        <v>102.57</v>
      </c>
      <c r="D19">
        <v>9.2794989999999995</v>
      </c>
    </row>
    <row r="20" spans="1:7">
      <c r="A20">
        <v>10000</v>
      </c>
      <c r="B20">
        <v>300.66919999999999</v>
      </c>
      <c r="C20">
        <v>92.817589999999996</v>
      </c>
      <c r="D20">
        <v>11.2233</v>
      </c>
    </row>
    <row r="21" spans="1:7">
      <c r="F21" s="8" t="s">
        <v>52</v>
      </c>
      <c r="G21" s="8"/>
    </row>
    <row r="39" spans="6:6">
      <c r="F39" s="8" t="s">
        <v>53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D1A69-6E4E-4403-BC21-D41A1140F89A}">
  <dimension ref="A1:D19"/>
  <sheetViews>
    <sheetView topLeftCell="B33" workbookViewId="0">
      <selection activeCell="C40" sqref="C40"/>
    </sheetView>
  </sheetViews>
  <sheetFormatPr defaultRowHeight="14.45"/>
  <cols>
    <col min="1" max="1" width="10.85546875" bestFit="1" customWidth="1"/>
    <col min="2" max="2" width="13.42578125" bestFit="1" customWidth="1"/>
    <col min="3" max="3" width="17.28515625" bestFit="1" customWidth="1"/>
  </cols>
  <sheetData>
    <row r="1" spans="1:4">
      <c r="A1" s="34" t="s">
        <v>54</v>
      </c>
    </row>
    <row r="2" spans="1:4">
      <c r="A2" s="8" t="s">
        <v>55</v>
      </c>
      <c r="B2" s="8" t="s">
        <v>56</v>
      </c>
      <c r="C2" s="8" t="s">
        <v>48</v>
      </c>
      <c r="D2" s="8" t="s">
        <v>49</v>
      </c>
    </row>
    <row r="3" spans="1:4">
      <c r="A3" s="33">
        <v>0</v>
      </c>
      <c r="B3" s="33">
        <v>3600</v>
      </c>
      <c r="C3" s="33">
        <v>175</v>
      </c>
      <c r="D3" s="33"/>
    </row>
    <row r="4" spans="1:4">
      <c r="A4" s="33">
        <v>0</v>
      </c>
      <c r="B4" s="33">
        <v>1190.402</v>
      </c>
      <c r="C4" s="33">
        <v>171.8657</v>
      </c>
      <c r="D4" s="33"/>
    </row>
    <row r="5" spans="1:4">
      <c r="A5" s="33">
        <v>0</v>
      </c>
      <c r="B5" s="33">
        <v>1190.402</v>
      </c>
      <c r="C5" s="33">
        <v>171.8657</v>
      </c>
      <c r="D5" s="33">
        <v>1.604938</v>
      </c>
    </row>
    <row r="6" spans="1:4">
      <c r="A6" s="33">
        <v>65.5</v>
      </c>
      <c r="B6" s="33">
        <v>1183.2760000000001</v>
      </c>
      <c r="C6" s="33">
        <v>171.7484</v>
      </c>
      <c r="D6" s="33">
        <v>1.6167260000000001</v>
      </c>
    </row>
    <row r="7" spans="1:4">
      <c r="A7" s="33">
        <v>500</v>
      </c>
      <c r="B7" s="33">
        <v>1136.931</v>
      </c>
      <c r="C7" s="33">
        <v>170.64609999999999</v>
      </c>
      <c r="D7" s="33">
        <v>1.6968840000000001</v>
      </c>
    </row>
    <row r="8" spans="1:4">
      <c r="A8" s="33">
        <v>500</v>
      </c>
      <c r="B8" s="33">
        <v>1136.9100000000001</v>
      </c>
      <c r="C8" s="33">
        <v>170.64599999999999</v>
      </c>
      <c r="D8" s="33">
        <v>4.5292219999999999</v>
      </c>
    </row>
    <row r="9" spans="1:4">
      <c r="A9" s="33">
        <v>866</v>
      </c>
      <c r="B9" s="33">
        <v>1095.19</v>
      </c>
      <c r="C9" s="33">
        <v>169.43870000000001</v>
      </c>
      <c r="D9" s="33">
        <v>4.7347190000000001</v>
      </c>
    </row>
    <row r="10" spans="1:4">
      <c r="A10" s="33">
        <v>1670.3</v>
      </c>
      <c r="B10" s="33">
        <v>1005.609</v>
      </c>
      <c r="C10" s="33">
        <v>166.05629999999999</v>
      </c>
      <c r="D10" s="33">
        <v>5.2267939999999999</v>
      </c>
    </row>
    <row r="11" spans="1:4">
      <c r="A11" s="33">
        <v>2480.9</v>
      </c>
      <c r="B11" s="33">
        <v>918.2586</v>
      </c>
      <c r="C11" s="33">
        <v>161.76589999999999</v>
      </c>
      <c r="D11" s="33">
        <v>5.7885679999999997</v>
      </c>
    </row>
    <row r="12" spans="1:4">
      <c r="A12" s="33">
        <v>3298.3</v>
      </c>
      <c r="B12" s="33">
        <v>833.10209999999995</v>
      </c>
      <c r="C12" s="33">
        <v>156.6848</v>
      </c>
      <c r="D12" s="33">
        <v>6.4400269999999997</v>
      </c>
    </row>
    <row r="13" spans="1:4">
      <c r="A13" s="33">
        <v>3945.2</v>
      </c>
      <c r="B13" s="33">
        <v>767.73810000000003</v>
      </c>
      <c r="C13" s="33">
        <v>152.2099</v>
      </c>
      <c r="D13" s="33">
        <v>7.0320549999999997</v>
      </c>
    </row>
    <row r="14" spans="1:4">
      <c r="A14" s="33">
        <v>4945.2</v>
      </c>
      <c r="B14" s="33">
        <v>669.38869999999997</v>
      </c>
      <c r="C14" s="33">
        <v>144.60910000000001</v>
      </c>
      <c r="D14" s="33">
        <v>8.1316980000000001</v>
      </c>
    </row>
    <row r="15" spans="1:4">
      <c r="A15" s="33">
        <v>5767.7</v>
      </c>
      <c r="B15" s="33">
        <v>590.78359999999998</v>
      </c>
      <c r="C15" s="33">
        <v>137.82220000000001</v>
      </c>
      <c r="D15" s="33">
        <v>9.2667450000000002</v>
      </c>
    </row>
    <row r="16" spans="1:4">
      <c r="A16" s="33">
        <v>6395.2</v>
      </c>
      <c r="B16" s="33">
        <v>531.71100000000001</v>
      </c>
      <c r="C16" s="33">
        <v>132.34270000000001</v>
      </c>
      <c r="D16" s="33">
        <v>10.33747</v>
      </c>
    </row>
    <row r="17" spans="1:4">
      <c r="A17" s="33">
        <v>7395.2</v>
      </c>
      <c r="B17" s="33">
        <v>440.4572</v>
      </c>
      <c r="C17" s="33">
        <v>123.1837</v>
      </c>
      <c r="D17" s="33">
        <v>12.54927</v>
      </c>
    </row>
    <row r="18" spans="1:4">
      <c r="A18" s="33">
        <v>8199.5</v>
      </c>
      <c r="B18" s="33">
        <v>368.95319999999998</v>
      </c>
      <c r="C18" s="33">
        <v>115.4598</v>
      </c>
      <c r="D18" s="33">
        <v>15.04255</v>
      </c>
    </row>
    <row r="19" spans="1:4">
      <c r="A19" s="33">
        <v>9000</v>
      </c>
      <c r="B19" s="33">
        <v>300.00310000000002</v>
      </c>
      <c r="C19" s="33">
        <v>107.5056</v>
      </c>
      <c r="D19" s="33">
        <v>18.567019999999999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8A170-C924-44E7-A398-23A864A61E64}">
  <dimension ref="A1:D21"/>
  <sheetViews>
    <sheetView topLeftCell="A32" workbookViewId="0">
      <selection activeCell="C36" sqref="C36"/>
    </sheetView>
  </sheetViews>
  <sheetFormatPr defaultRowHeight="14.45"/>
  <cols>
    <col min="1" max="1" width="10.5703125" bestFit="1" customWidth="1"/>
    <col min="2" max="2" width="13.140625" bestFit="1" customWidth="1"/>
    <col min="3" max="3" width="16.85546875" bestFit="1" customWidth="1"/>
  </cols>
  <sheetData>
    <row r="1" spans="1:4">
      <c r="A1" s="32" t="s">
        <v>57</v>
      </c>
    </row>
    <row r="2" spans="1:4">
      <c r="A2" s="8" t="s">
        <v>55</v>
      </c>
      <c r="B2" s="8" t="s">
        <v>56</v>
      </c>
      <c r="C2" s="8" t="s">
        <v>48</v>
      </c>
      <c r="D2" s="8" t="s">
        <v>49</v>
      </c>
    </row>
    <row r="3" spans="1:4">
      <c r="A3" s="33">
        <v>0</v>
      </c>
      <c r="B3" s="33">
        <v>5200</v>
      </c>
      <c r="C3" s="33">
        <v>210</v>
      </c>
      <c r="D3" s="33"/>
    </row>
    <row r="4" spans="1:4">
      <c r="A4" s="33">
        <v>0</v>
      </c>
      <c r="B4" s="33">
        <v>1701.953</v>
      </c>
      <c r="C4" s="33">
        <v>215.57849999999999</v>
      </c>
      <c r="D4" s="33"/>
    </row>
    <row r="5" spans="1:4">
      <c r="A5" s="33">
        <v>0</v>
      </c>
      <c r="B5" s="33">
        <v>1701.953</v>
      </c>
      <c r="C5" s="33">
        <v>215.57849999999999</v>
      </c>
      <c r="D5" s="33">
        <v>1.0241229999999999</v>
      </c>
    </row>
    <row r="6" spans="1:4">
      <c r="A6" s="33">
        <v>203.4</v>
      </c>
      <c r="B6" s="33">
        <v>1662.355</v>
      </c>
      <c r="C6" s="33">
        <v>214.9948</v>
      </c>
      <c r="D6" s="33">
        <v>1.057863</v>
      </c>
    </row>
    <row r="7" spans="1:4">
      <c r="A7" s="33">
        <v>500</v>
      </c>
      <c r="B7" s="33">
        <v>1606.193</v>
      </c>
      <c r="C7" s="33">
        <v>214.0095</v>
      </c>
      <c r="D7" s="33">
        <v>1.108436</v>
      </c>
    </row>
    <row r="8" spans="1:4">
      <c r="A8" s="33">
        <v>500</v>
      </c>
      <c r="B8" s="33">
        <v>1606.165</v>
      </c>
      <c r="C8" s="33">
        <v>214.00960000000001</v>
      </c>
      <c r="D8" s="33">
        <v>2.6888839999999998</v>
      </c>
    </row>
    <row r="9" spans="1:4">
      <c r="A9" s="33">
        <v>1369.5</v>
      </c>
      <c r="B9" s="33">
        <v>1444.12</v>
      </c>
      <c r="C9" s="33">
        <v>211.0085</v>
      </c>
      <c r="D9" s="33">
        <v>3.096638</v>
      </c>
    </row>
    <row r="10" spans="1:4">
      <c r="A10" s="33">
        <v>1545.5</v>
      </c>
      <c r="B10" s="33">
        <v>1412.817</v>
      </c>
      <c r="C10" s="33">
        <v>210.29750000000001</v>
      </c>
      <c r="D10" s="33">
        <v>3.1855859999999998</v>
      </c>
    </row>
    <row r="11" spans="1:4">
      <c r="A11" s="33">
        <v>2545.5</v>
      </c>
      <c r="B11" s="33">
        <v>1242.943</v>
      </c>
      <c r="C11" s="33">
        <v>205.63650000000001</v>
      </c>
      <c r="D11" s="33">
        <v>3.7418290000000001</v>
      </c>
    </row>
    <row r="12" spans="1:4">
      <c r="A12" s="33">
        <v>2899.8</v>
      </c>
      <c r="B12" s="33">
        <v>1186.0899999999999</v>
      </c>
      <c r="C12" s="33">
        <v>203.7431</v>
      </c>
      <c r="D12" s="33">
        <v>3.961627</v>
      </c>
    </row>
    <row r="13" spans="1:4">
      <c r="A13" s="33">
        <v>3899.8</v>
      </c>
      <c r="B13" s="33">
        <v>1034.644</v>
      </c>
      <c r="C13" s="33">
        <v>197.7766</v>
      </c>
      <c r="D13" s="33">
        <v>4.6590920000000002</v>
      </c>
    </row>
    <row r="14" spans="1:4">
      <c r="A14" s="33">
        <v>4899.8</v>
      </c>
      <c r="B14" s="33">
        <v>891.19870000000003</v>
      </c>
      <c r="C14" s="33">
        <v>190.95429999999999</v>
      </c>
      <c r="D14" s="33">
        <v>5.5311579999999996</v>
      </c>
    </row>
    <row r="15" spans="1:4">
      <c r="A15" s="33">
        <v>5065.8999999999996</v>
      </c>
      <c r="B15" s="33">
        <v>867.67229999999995</v>
      </c>
      <c r="C15" s="33">
        <v>189.7414</v>
      </c>
      <c r="D15" s="33">
        <v>5.7013299999999996</v>
      </c>
    </row>
    <row r="16" spans="1:4">
      <c r="A16" s="33">
        <v>6065.9</v>
      </c>
      <c r="B16" s="33">
        <v>729.32619999999997</v>
      </c>
      <c r="C16" s="33">
        <v>182.00380000000001</v>
      </c>
      <c r="D16" s="33">
        <v>6.9213069999999997</v>
      </c>
    </row>
    <row r="17" spans="1:4">
      <c r="A17" s="33">
        <v>6220.3</v>
      </c>
      <c r="B17" s="33">
        <v>708.31740000000002</v>
      </c>
      <c r="C17" s="33">
        <v>180.74250000000001</v>
      </c>
      <c r="D17" s="33">
        <v>7.1479429999999997</v>
      </c>
    </row>
    <row r="18" spans="1:4">
      <c r="A18" s="33">
        <v>7220.3</v>
      </c>
      <c r="B18" s="33">
        <v>576.16070000000002</v>
      </c>
      <c r="C18" s="33">
        <v>172.18639999999999</v>
      </c>
      <c r="D18" s="33">
        <v>8.9494509999999998</v>
      </c>
    </row>
    <row r="19" spans="1:4">
      <c r="A19" s="33">
        <v>7500</v>
      </c>
      <c r="B19" s="33">
        <v>540.02380000000005</v>
      </c>
      <c r="C19" s="33">
        <v>169.67009999999999</v>
      </c>
      <c r="D19" s="33">
        <v>9.5949399999999994</v>
      </c>
    </row>
    <row r="20" spans="1:4">
      <c r="A20" s="33">
        <v>8500</v>
      </c>
      <c r="B20" s="33">
        <v>415.78710000000001</v>
      </c>
      <c r="C20" s="33">
        <v>160.28550000000001</v>
      </c>
      <c r="D20" s="33">
        <v>12.664949999999999</v>
      </c>
    </row>
    <row r="21" spans="1:4">
      <c r="A21" s="33">
        <v>9500</v>
      </c>
      <c r="B21" s="33">
        <v>299.96969999999999</v>
      </c>
      <c r="C21" s="33">
        <v>150.3415</v>
      </c>
      <c r="D21" s="33">
        <v>17.80414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09B74-DC8D-480A-9990-BA33AB392D6B}">
  <dimension ref="A1:D13"/>
  <sheetViews>
    <sheetView topLeftCell="A34" workbookViewId="0">
      <selection activeCell="D38" sqref="D38"/>
    </sheetView>
  </sheetViews>
  <sheetFormatPr defaultRowHeight="14.45"/>
  <cols>
    <col min="1" max="1" width="10.5703125" bestFit="1" customWidth="1"/>
    <col min="2" max="2" width="13.140625" bestFit="1" customWidth="1"/>
    <col min="3" max="3" width="16.85546875" bestFit="1" customWidth="1"/>
  </cols>
  <sheetData>
    <row r="1" spans="1:4">
      <c r="A1" s="32" t="s">
        <v>58</v>
      </c>
    </row>
    <row r="2" spans="1:4">
      <c r="A2" s="8" t="s">
        <v>55</v>
      </c>
      <c r="B2" s="8" t="s">
        <v>56</v>
      </c>
      <c r="C2" s="8" t="s">
        <v>48</v>
      </c>
      <c r="D2" s="8" t="s">
        <v>49</v>
      </c>
    </row>
    <row r="3" spans="1:4">
      <c r="A3" s="33">
        <v>0</v>
      </c>
      <c r="B3" s="33">
        <v>3000</v>
      </c>
      <c r="C3" s="33">
        <v>160</v>
      </c>
      <c r="D3" s="33"/>
    </row>
    <row r="4" spans="1:4">
      <c r="A4" s="33">
        <v>0</v>
      </c>
      <c r="B4" s="33">
        <v>1576.098</v>
      </c>
      <c r="C4" s="33">
        <v>162.07149999999999</v>
      </c>
      <c r="D4" s="33"/>
    </row>
    <row r="5" spans="1:4">
      <c r="A5" s="33">
        <v>0</v>
      </c>
      <c r="B5" s="33">
        <v>1576.098</v>
      </c>
      <c r="C5" s="33">
        <v>162.07149999999999</v>
      </c>
      <c r="D5" s="33">
        <v>4.9234460000000001E-2</v>
      </c>
    </row>
    <row r="6" spans="1:4">
      <c r="A6" s="33">
        <v>200</v>
      </c>
      <c r="B6" s="33">
        <v>1508.047</v>
      </c>
      <c r="C6" s="33">
        <v>161.02619999999999</v>
      </c>
      <c r="D6" s="33">
        <v>5.3917420000000001E-2</v>
      </c>
    </row>
    <row r="7" spans="1:4">
      <c r="A7" s="33">
        <v>200</v>
      </c>
      <c r="B7" s="33">
        <v>1508.0440000000001</v>
      </c>
      <c r="C7" s="33">
        <v>161.02619999999999</v>
      </c>
      <c r="D7" s="33">
        <v>0.3252718</v>
      </c>
    </row>
    <row r="8" spans="1:4">
      <c r="A8" s="33">
        <v>1200</v>
      </c>
      <c r="B8" s="33">
        <v>1243.289</v>
      </c>
      <c r="C8" s="33">
        <v>155.02879999999999</v>
      </c>
      <c r="D8" s="33">
        <v>0.46317649999999999</v>
      </c>
    </row>
    <row r="9" spans="1:4">
      <c r="A9" s="33">
        <v>2200</v>
      </c>
      <c r="B9" s="33">
        <v>1003.968</v>
      </c>
      <c r="C9" s="33">
        <v>145.70429999999999</v>
      </c>
      <c r="D9" s="33">
        <v>0.64570629999999996</v>
      </c>
    </row>
    <row r="10" spans="1:4">
      <c r="A10" s="33">
        <v>3200</v>
      </c>
      <c r="B10" s="33">
        <v>792.71640000000002</v>
      </c>
      <c r="C10" s="33">
        <v>134.3262</v>
      </c>
      <c r="D10" s="33">
        <v>0.89496489999999995</v>
      </c>
    </row>
    <row r="11" spans="1:4">
      <c r="A11" s="33">
        <v>4200</v>
      </c>
      <c r="B11" s="33">
        <v>611.41750000000002</v>
      </c>
      <c r="C11" s="33">
        <v>121.6979</v>
      </c>
      <c r="D11" s="33">
        <v>1.2429889999999999</v>
      </c>
    </row>
    <row r="12" spans="1:4">
      <c r="A12" s="33">
        <v>5200</v>
      </c>
      <c r="B12" s="33">
        <v>452.62259999999998</v>
      </c>
      <c r="C12" s="33">
        <v>108.3051</v>
      </c>
      <c r="D12" s="33">
        <v>1.7749239999999999</v>
      </c>
    </row>
    <row r="13" spans="1:4">
      <c r="A13" s="33">
        <v>6200</v>
      </c>
      <c r="B13" s="33">
        <v>300.1096</v>
      </c>
      <c r="C13" s="33">
        <v>94.439520000000002</v>
      </c>
      <c r="D13" s="33">
        <v>2.8230840000000001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2E49-5B3B-4BE6-9485-B55E6A6CF27B}">
  <dimension ref="A1:D28"/>
  <sheetViews>
    <sheetView topLeftCell="C28" workbookViewId="0">
      <selection activeCell="N26" sqref="N26"/>
    </sheetView>
  </sheetViews>
  <sheetFormatPr defaultRowHeight="14.45"/>
  <cols>
    <col min="1" max="1" width="10.5703125" bestFit="1" customWidth="1"/>
    <col min="2" max="2" width="13.140625" bestFit="1" customWidth="1"/>
    <col min="3" max="3" width="16.85546875" bestFit="1" customWidth="1"/>
  </cols>
  <sheetData>
    <row r="1" spans="1:4">
      <c r="A1" s="32" t="s">
        <v>41</v>
      </c>
    </row>
    <row r="2" spans="1:4">
      <c r="A2" s="8" t="s">
        <v>55</v>
      </c>
      <c r="B2" s="8" t="s">
        <v>56</v>
      </c>
      <c r="C2" s="8" t="s">
        <v>48</v>
      </c>
      <c r="D2" s="8" t="s">
        <v>49</v>
      </c>
    </row>
    <row r="3" spans="1:4">
      <c r="A3" s="33">
        <v>0</v>
      </c>
      <c r="B3" s="33">
        <v>4800</v>
      </c>
      <c r="C3" s="33">
        <v>205</v>
      </c>
      <c r="D3" s="33"/>
    </row>
    <row r="4" spans="1:4">
      <c r="A4" s="33">
        <v>0</v>
      </c>
      <c r="B4" s="33">
        <v>3046.2730000000001</v>
      </c>
      <c r="C4" s="33">
        <v>210.71610000000001</v>
      </c>
      <c r="D4" s="33"/>
    </row>
    <row r="5" spans="1:4">
      <c r="A5" s="33">
        <v>0</v>
      </c>
      <c r="B5" s="33">
        <v>3046.2730000000001</v>
      </c>
      <c r="C5" s="33">
        <v>210.71610000000001</v>
      </c>
      <c r="D5" s="33">
        <v>4.4250999999999999E-2</v>
      </c>
    </row>
    <row r="6" spans="1:4">
      <c r="A6" s="33">
        <v>200</v>
      </c>
      <c r="B6" s="33">
        <v>2977.6840000000002</v>
      </c>
      <c r="C6" s="33">
        <v>209.95910000000001</v>
      </c>
      <c r="D6" s="33">
        <v>4.7795079999999997E-2</v>
      </c>
    </row>
    <row r="7" spans="1:4">
      <c r="A7" s="33">
        <v>200</v>
      </c>
      <c r="B7" s="33">
        <v>2977.6689999999999</v>
      </c>
      <c r="C7" s="33">
        <v>209.95910000000001</v>
      </c>
      <c r="D7" s="33">
        <v>0.28832950000000002</v>
      </c>
    </row>
    <row r="8" spans="1:4">
      <c r="A8" s="33">
        <v>535.4</v>
      </c>
      <c r="B8" s="33">
        <v>2868.5369999999998</v>
      </c>
      <c r="C8" s="33">
        <v>209.0412</v>
      </c>
      <c r="D8" s="33">
        <v>0.32455699999999998</v>
      </c>
    </row>
    <row r="9" spans="1:4">
      <c r="A9" s="33">
        <v>588.1</v>
      </c>
      <c r="B9" s="33">
        <v>2851.57</v>
      </c>
      <c r="C9" s="33">
        <v>208.88069999999999</v>
      </c>
      <c r="D9" s="33">
        <v>0.330372</v>
      </c>
    </row>
    <row r="10" spans="1:4">
      <c r="A10" s="33">
        <v>1588.1</v>
      </c>
      <c r="B10" s="33">
        <v>2534.4189999999999</v>
      </c>
      <c r="C10" s="33">
        <v>205.0282</v>
      </c>
      <c r="D10" s="33">
        <v>0.44932539999999999</v>
      </c>
    </row>
    <row r="11" spans="1:4">
      <c r="A11" s="33">
        <v>1649.6</v>
      </c>
      <c r="B11" s="33">
        <v>2515.4070000000002</v>
      </c>
      <c r="C11" s="33">
        <v>204.745</v>
      </c>
      <c r="D11" s="33">
        <v>0.45718530000000002</v>
      </c>
    </row>
    <row r="12" spans="1:4">
      <c r="A12" s="33">
        <v>2649.6</v>
      </c>
      <c r="B12" s="33">
        <v>2212.038</v>
      </c>
      <c r="C12" s="33">
        <v>199.46279999999999</v>
      </c>
      <c r="D12" s="33">
        <v>0.59781479999999998</v>
      </c>
    </row>
    <row r="13" spans="1:4">
      <c r="A13" s="33">
        <v>2722.7</v>
      </c>
      <c r="B13" s="33">
        <v>2190.529</v>
      </c>
      <c r="C13" s="33">
        <v>199.03049999999999</v>
      </c>
      <c r="D13" s="33">
        <v>0.60906459999999996</v>
      </c>
    </row>
    <row r="14" spans="1:4">
      <c r="A14" s="33">
        <v>3722.7</v>
      </c>
      <c r="B14" s="33">
        <v>1903.2429999999999</v>
      </c>
      <c r="C14" s="33">
        <v>192.55090000000001</v>
      </c>
      <c r="D14" s="33">
        <v>0.78159219999999996</v>
      </c>
    </row>
    <row r="15" spans="1:4">
      <c r="A15" s="33">
        <v>3802.8</v>
      </c>
      <c r="B15" s="33">
        <v>1880.9949999999999</v>
      </c>
      <c r="C15" s="33">
        <v>191.9897</v>
      </c>
      <c r="D15" s="33">
        <v>0.79700559999999998</v>
      </c>
    </row>
    <row r="16" spans="1:4">
      <c r="A16" s="33">
        <v>4802.8</v>
      </c>
      <c r="B16" s="33">
        <v>1611.5619999999999</v>
      </c>
      <c r="C16" s="33">
        <v>184.51609999999999</v>
      </c>
      <c r="D16" s="33">
        <v>1.0162439999999999</v>
      </c>
    </row>
    <row r="17" spans="1:4">
      <c r="A17" s="33">
        <v>4886.8</v>
      </c>
      <c r="B17" s="33">
        <v>1589.7349999999999</v>
      </c>
      <c r="C17" s="33">
        <v>183.85149999999999</v>
      </c>
      <c r="D17" s="33">
        <v>1.03718</v>
      </c>
    </row>
    <row r="18" spans="1:4">
      <c r="A18" s="33">
        <v>5886.8</v>
      </c>
      <c r="B18" s="33">
        <v>1339.732</v>
      </c>
      <c r="C18" s="33">
        <v>175.55269999999999</v>
      </c>
      <c r="D18" s="33">
        <v>1.325194</v>
      </c>
    </row>
    <row r="19" spans="1:4">
      <c r="A19" s="33">
        <v>5966.9</v>
      </c>
      <c r="B19" s="33">
        <v>1320.491</v>
      </c>
      <c r="C19" s="33">
        <v>174.85810000000001</v>
      </c>
      <c r="D19" s="33">
        <v>1.3518650000000001</v>
      </c>
    </row>
    <row r="20" spans="1:4">
      <c r="A20" s="33">
        <v>6966.9</v>
      </c>
      <c r="B20" s="33">
        <v>1091.6659999999999</v>
      </c>
      <c r="C20" s="33">
        <v>165.86779999999999</v>
      </c>
      <c r="D20" s="33">
        <v>1.741179</v>
      </c>
    </row>
    <row r="21" spans="1:4">
      <c r="A21" s="33">
        <v>7040</v>
      </c>
      <c r="B21" s="33">
        <v>1075.69</v>
      </c>
      <c r="C21" s="33">
        <v>165.1874</v>
      </c>
      <c r="D21" s="33">
        <v>1.7745649999999999</v>
      </c>
    </row>
    <row r="22" spans="1:4">
      <c r="A22" s="33">
        <v>8040</v>
      </c>
      <c r="B22" s="33">
        <v>869.89509999999996</v>
      </c>
      <c r="C22" s="33">
        <v>155.61330000000001</v>
      </c>
      <c r="D22" s="33">
        <v>2.3142930000000002</v>
      </c>
    </row>
    <row r="23" spans="1:4">
      <c r="A23" s="33">
        <v>8101.5</v>
      </c>
      <c r="B23" s="33">
        <v>857.78980000000001</v>
      </c>
      <c r="C23" s="33">
        <v>155.0078</v>
      </c>
      <c r="D23" s="33">
        <v>2.354155</v>
      </c>
    </row>
    <row r="24" spans="1:4">
      <c r="A24" s="33">
        <v>9101.5</v>
      </c>
      <c r="B24" s="33">
        <v>666.99919999999997</v>
      </c>
      <c r="C24" s="33">
        <v>144.946</v>
      </c>
      <c r="D24" s="33">
        <v>3.1763499999999998</v>
      </c>
    </row>
    <row r="25" spans="1:4">
      <c r="A25" s="33">
        <v>9154.2000000000007</v>
      </c>
      <c r="B25" s="33">
        <v>657.17669999999998</v>
      </c>
      <c r="C25" s="33">
        <v>144.40369999999999</v>
      </c>
      <c r="D25" s="33">
        <v>3.231779</v>
      </c>
    </row>
    <row r="26" spans="1:4">
      <c r="A26" s="33">
        <v>10154.200000000001</v>
      </c>
      <c r="B26" s="33">
        <v>476.78750000000002</v>
      </c>
      <c r="C26" s="33">
        <v>133.92920000000001</v>
      </c>
      <c r="D26" s="33">
        <v>4.6603870000000001</v>
      </c>
    </row>
    <row r="27" spans="1:4">
      <c r="A27" s="33">
        <v>10200</v>
      </c>
      <c r="B27" s="33">
        <v>468.7593</v>
      </c>
      <c r="C27" s="33">
        <v>133.44069999999999</v>
      </c>
      <c r="D27" s="33">
        <v>4.7497439999999997</v>
      </c>
    </row>
    <row r="28" spans="1:4">
      <c r="A28" s="33">
        <v>11200</v>
      </c>
      <c r="B28" s="33">
        <v>300.59219999999999</v>
      </c>
      <c r="C28" s="33">
        <v>122.6182</v>
      </c>
      <c r="D28" s="33">
        <v>7.7244770000000003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34C49-9E2E-4E9F-A104-70598320103D}">
  <dimension ref="A1:D13"/>
  <sheetViews>
    <sheetView topLeftCell="A35" workbookViewId="0">
      <selection activeCell="C37" sqref="C37"/>
    </sheetView>
  </sheetViews>
  <sheetFormatPr defaultRowHeight="14.45"/>
  <cols>
    <col min="1" max="1" width="10.5703125" bestFit="1" customWidth="1"/>
    <col min="2" max="2" width="13.140625" bestFit="1" customWidth="1"/>
    <col min="3" max="3" width="16.85546875" bestFit="1" customWidth="1"/>
  </cols>
  <sheetData>
    <row r="1" spans="1:4">
      <c r="A1" s="32" t="s">
        <v>43</v>
      </c>
    </row>
    <row r="2" spans="1:4">
      <c r="A2" s="35" t="s">
        <v>55</v>
      </c>
      <c r="B2" s="35" t="s">
        <v>56</v>
      </c>
      <c r="C2" s="35" t="s">
        <v>48</v>
      </c>
      <c r="D2" s="35" t="s">
        <v>49</v>
      </c>
    </row>
    <row r="3" spans="1:4">
      <c r="A3" s="33">
        <v>0</v>
      </c>
      <c r="B3" s="33">
        <v>2800</v>
      </c>
      <c r="C3" s="33">
        <v>155</v>
      </c>
      <c r="D3" s="33"/>
    </row>
    <row r="4" spans="1:4">
      <c r="A4" s="33">
        <v>0</v>
      </c>
      <c r="B4" s="33">
        <v>2431.6329999999998</v>
      </c>
      <c r="C4" s="33">
        <v>156.97999999999999</v>
      </c>
      <c r="D4" s="33"/>
    </row>
    <row r="5" spans="1:4">
      <c r="A5" s="33">
        <v>0</v>
      </c>
      <c r="B5" s="33">
        <v>2431.6329999999998</v>
      </c>
      <c r="C5" s="33">
        <v>156.97999999999999</v>
      </c>
      <c r="D5" s="33">
        <v>0</v>
      </c>
    </row>
    <row r="6" spans="1:4">
      <c r="A6" s="33">
        <v>300</v>
      </c>
      <c r="B6" s="33">
        <v>2319.2190000000001</v>
      </c>
      <c r="C6" s="33">
        <v>153.32669999999999</v>
      </c>
      <c r="D6" s="33">
        <v>0</v>
      </c>
    </row>
    <row r="7" spans="1:4">
      <c r="A7" s="33">
        <v>300</v>
      </c>
      <c r="B7" s="33">
        <v>2319.2190000000001</v>
      </c>
      <c r="C7" s="33">
        <v>153.32669999999999</v>
      </c>
      <c r="D7" s="33">
        <v>0</v>
      </c>
    </row>
    <row r="8" spans="1:4">
      <c r="A8" s="33">
        <v>800</v>
      </c>
      <c r="B8" s="33">
        <v>2131.636</v>
      </c>
      <c r="C8" s="33">
        <v>148.7133</v>
      </c>
      <c r="D8" s="33">
        <v>0</v>
      </c>
    </row>
    <row r="9" spans="1:4">
      <c r="A9" s="33">
        <v>1800</v>
      </c>
      <c r="B9" s="33">
        <v>1755.6110000000001</v>
      </c>
      <c r="C9" s="33">
        <v>135.29320000000001</v>
      </c>
      <c r="D9" s="33">
        <v>1.97064E-4</v>
      </c>
    </row>
    <row r="10" spans="1:4">
      <c r="A10" s="33">
        <v>2800</v>
      </c>
      <c r="B10" s="33">
        <v>1378.1690000000001</v>
      </c>
      <c r="C10" s="33">
        <v>120.2351</v>
      </c>
      <c r="D10" s="33">
        <v>1.437065E-2</v>
      </c>
    </row>
    <row r="11" spans="1:4">
      <c r="A11" s="33">
        <v>3800</v>
      </c>
      <c r="B11" s="33">
        <v>1001.021</v>
      </c>
      <c r="C11" s="33">
        <v>105.4851</v>
      </c>
      <c r="D11" s="33">
        <v>3.9525940000000002E-2</v>
      </c>
    </row>
    <row r="12" spans="1:4">
      <c r="A12" s="33">
        <v>4800</v>
      </c>
      <c r="B12" s="33">
        <v>631.88900000000001</v>
      </c>
      <c r="C12" s="33">
        <v>90.777270000000001</v>
      </c>
      <c r="D12" s="33">
        <v>9.557968E-2</v>
      </c>
    </row>
    <row r="13" spans="1:4">
      <c r="A13" s="33">
        <v>5800</v>
      </c>
      <c r="B13" s="33">
        <v>299.5086</v>
      </c>
      <c r="C13" s="33">
        <v>76.045659999999998</v>
      </c>
      <c r="D13" s="33">
        <v>0.27123809999999998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73EC-BED6-487E-A235-3EDC242D24EB}">
  <dimension ref="A1:G7"/>
  <sheetViews>
    <sheetView workbookViewId="0">
      <selection activeCell="G13" sqref="G13"/>
    </sheetView>
  </sheetViews>
  <sheetFormatPr defaultRowHeight="14.45"/>
  <sheetData>
    <row r="1" spans="1:7" ht="29.1">
      <c r="A1" s="36" t="s">
        <v>59</v>
      </c>
      <c r="B1" s="38" t="s">
        <v>60</v>
      </c>
      <c r="C1" s="38" t="s">
        <v>61</v>
      </c>
      <c r="D1" s="38" t="s">
        <v>62</v>
      </c>
      <c r="E1" s="38" t="s">
        <v>63</v>
      </c>
      <c r="F1" s="38" t="s">
        <v>64</v>
      </c>
      <c r="G1" s="38" t="s">
        <v>65</v>
      </c>
    </row>
    <row r="2" spans="1:7">
      <c r="A2" s="39">
        <v>0</v>
      </c>
      <c r="B2" s="37">
        <v>578.98</v>
      </c>
      <c r="C2" s="37">
        <v>1100.31</v>
      </c>
      <c r="D2" s="37">
        <v>1721.28</v>
      </c>
      <c r="E2" s="37">
        <v>261.52999999999997</v>
      </c>
      <c r="F2" s="37">
        <v>684.56</v>
      </c>
      <c r="G2" s="37">
        <v>66.31</v>
      </c>
    </row>
    <row r="3" spans="1:7">
      <c r="A3" s="39">
        <v>1</v>
      </c>
      <c r="B3" s="37">
        <v>503.33</v>
      </c>
      <c r="C3" s="37">
        <v>766.26</v>
      </c>
      <c r="D3" s="37">
        <v>1612.87</v>
      </c>
      <c r="E3" s="37">
        <v>175.92</v>
      </c>
      <c r="F3" s="37">
        <v>1012.11</v>
      </c>
      <c r="G3" s="37">
        <v>82.86</v>
      </c>
    </row>
    <row r="4" spans="1:7">
      <c r="A4" s="39">
        <v>2</v>
      </c>
      <c r="B4" s="37">
        <v>430.71</v>
      </c>
      <c r="C4" s="37">
        <v>641.11</v>
      </c>
      <c r="D4" s="37">
        <v>965.31</v>
      </c>
      <c r="E4" s="37">
        <v>305.54000000000002</v>
      </c>
      <c r="F4" s="37">
        <v>750.9</v>
      </c>
      <c r="G4" s="37">
        <v>84.08</v>
      </c>
    </row>
    <row r="5" spans="1:7">
      <c r="A5" s="39">
        <v>3</v>
      </c>
      <c r="B5" s="37">
        <v>359.58</v>
      </c>
      <c r="C5" s="37">
        <v>457.37</v>
      </c>
      <c r="D5" s="37">
        <v>617.9</v>
      </c>
      <c r="E5" s="37">
        <v>311.94</v>
      </c>
      <c r="F5" s="37">
        <v>524.66</v>
      </c>
      <c r="G5" s="37">
        <v>85.26</v>
      </c>
    </row>
    <row r="6" spans="1:7">
      <c r="A6" s="39">
        <v>4</v>
      </c>
      <c r="B6" s="37">
        <v>378.96</v>
      </c>
      <c r="C6" s="37">
        <v>313.18</v>
      </c>
      <c r="D6" s="37">
        <v>332.19</v>
      </c>
      <c r="E6" s="37">
        <v>318.06</v>
      </c>
      <c r="F6" s="37">
        <v>340.96</v>
      </c>
      <c r="G6" s="37">
        <v>86.44</v>
      </c>
    </row>
    <row r="7" spans="1:7">
      <c r="A7" s="39">
        <v>5</v>
      </c>
      <c r="B7" s="37">
        <v>331.11</v>
      </c>
      <c r="C7" s="37">
        <v>223.7</v>
      </c>
      <c r="D7" s="37">
        <v>204.23</v>
      </c>
      <c r="E7" s="37">
        <v>323.66000000000003</v>
      </c>
      <c r="F7" s="37">
        <v>237.14</v>
      </c>
      <c r="G7" s="37">
        <v>87.63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e900ad4-4a6c-4fc2-a4c7-ad07a77c54e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F47FBF8252AC4EA98EE444DFB599CB" ma:contentTypeVersion="14" ma:contentTypeDescription="Create a new document." ma:contentTypeScope="" ma:versionID="1cb33abfed601d6ad5dc3f85ac7afbac">
  <xsd:schema xmlns:xsd="http://www.w3.org/2001/XMLSchema" xmlns:xs="http://www.w3.org/2001/XMLSchema" xmlns:p="http://schemas.microsoft.com/office/2006/metadata/properties" xmlns:ns3="fe900ad4-4a6c-4fc2-a4c7-ad07a77c54ef" xmlns:ns4="0d60b202-2e63-405e-8d8c-6c794a748932" targetNamespace="http://schemas.microsoft.com/office/2006/metadata/properties" ma:root="true" ma:fieldsID="e2d27ed274398630573fcbe588c8bb92" ns3:_="" ns4:_="">
    <xsd:import namespace="fe900ad4-4a6c-4fc2-a4c7-ad07a77c54ef"/>
    <xsd:import namespace="0d60b202-2e63-405e-8d8c-6c794a748932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900ad4-4a6c-4fc2-a4c7-ad07a77c54ef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60b202-2e63-405e-8d8c-6c794a74893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E1ADE2-D99E-4F3B-B328-DEA50A2730B5}"/>
</file>

<file path=customXml/itemProps2.xml><?xml version="1.0" encoding="utf-8"?>
<ds:datastoreItem xmlns:ds="http://schemas.openxmlformats.org/officeDocument/2006/customXml" ds:itemID="{75954F3D-4082-4390-AC11-473731E70FAD}"/>
</file>

<file path=customXml/itemProps3.xml><?xml version="1.0" encoding="utf-8"?>
<ds:datastoreItem xmlns:ds="http://schemas.openxmlformats.org/officeDocument/2006/customXml" ds:itemID="{1DD9FA47-CC95-40F2-9310-358B3E09BD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Chinowaita, Regnold</dc:creator>
  <cp:keywords/>
  <dc:description/>
  <cp:lastModifiedBy/>
  <cp:revision/>
  <dcterms:created xsi:type="dcterms:W3CDTF">2025-12-13T22:54:49Z</dcterms:created>
  <dcterms:modified xsi:type="dcterms:W3CDTF">2025-12-17T13:45:09Z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0x01010042F47FBF8252AC4EA98EE444DFB599CB</vt:lpwstr>
  </property>
</Properties>
</file>